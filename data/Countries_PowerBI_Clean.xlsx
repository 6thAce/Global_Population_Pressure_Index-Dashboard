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ies_Territories" sheetId="1" state="visible" r:id="rId3"/>
    <sheet name="Organizations_Groups" sheetId="2" state="visible" r:id="rId4"/>
    <sheet name="Aliases_Lookup" sheetId="3" state="visible" r:id="rId5"/>
    <sheet name="Summary" sheetId="4" state="visible" r:id="rId6"/>
  </sheets>
  <definedNames>
    <definedName function="false" hidden="true" localSheetId="2" name="_xlnm._FilterDatabase" vbProcedure="false">Aliases_Lookup!$A$1:$B$33</definedName>
    <definedName function="false" hidden="true" localSheetId="0" name="_xlnm._FilterDatabase" vbProcedure="false">Countries_Territories!$A$1:$E$238</definedName>
    <definedName function="false" hidden="true" localSheetId="1" name="_xlnm._FilterDatabase" vbProcedure="false">Organizations_Groups!$A$1:$C$53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<sst xmlns="http://schemas.openxmlformats.org/spreadsheetml/2006/main" count="1427" uniqueCount="449">
  <si>
    <t xml:space="preserve">Name</t>
  </si>
  <si>
    <t xml:space="preserve">Type</t>
  </si>
  <si>
    <t xml:space="preserve">Continent</t>
  </si>
  <si>
    <t xml:space="preserve">UN_Region</t>
  </si>
  <si>
    <t xml:space="preserve">Subregion</t>
  </si>
  <si>
    <t xml:space="preserve">Burundi</t>
  </si>
  <si>
    <t xml:space="preserve">Country</t>
  </si>
  <si>
    <t xml:space="preserve">Africa</t>
  </si>
  <si>
    <t xml:space="preserve">Sub-Saharan Africa</t>
  </si>
  <si>
    <t xml:space="preserve">Eastern Africa</t>
  </si>
  <si>
    <t xml:space="preserve">Comoros</t>
  </si>
  <si>
    <t xml:space="preserve">Djibouti</t>
  </si>
  <si>
    <t xml:space="preserve">Eritrea</t>
  </si>
  <si>
    <t xml:space="preserve">Ethiopia</t>
  </si>
  <si>
    <t xml:space="preserve">Kenya</t>
  </si>
  <si>
    <t xml:space="preserve">Madagascar</t>
  </si>
  <si>
    <t xml:space="preserve">Malawi</t>
  </si>
  <si>
    <t xml:space="preserve">Mauritius</t>
  </si>
  <si>
    <t xml:space="preserve">Mayotte</t>
  </si>
  <si>
    <t xml:space="preserve">Territory</t>
  </si>
  <si>
    <t xml:space="preserve">Mozambique</t>
  </si>
  <si>
    <t xml:space="preserve">Réunion</t>
  </si>
  <si>
    <t xml:space="preserve">Rwanda</t>
  </si>
  <si>
    <t xml:space="preserve">Seychelles</t>
  </si>
  <si>
    <t xml:space="preserve">Somalia</t>
  </si>
  <si>
    <t xml:space="preserve">South Sudan</t>
  </si>
  <si>
    <t xml:space="preserve">Uganda</t>
  </si>
  <si>
    <t xml:space="preserve">United Republic of Tanzania</t>
  </si>
  <si>
    <t xml:space="preserve">Zambia</t>
  </si>
  <si>
    <t xml:space="preserve">Zimbabwe</t>
  </si>
  <si>
    <t xml:space="preserve">Angola</t>
  </si>
  <si>
    <t xml:space="preserve">Middle Africa</t>
  </si>
  <si>
    <t xml:space="preserve">Cameroon</t>
  </si>
  <si>
    <t xml:space="preserve">Central African Republic</t>
  </si>
  <si>
    <t xml:space="preserve">Chad</t>
  </si>
  <si>
    <t xml:space="preserve">Congo</t>
  </si>
  <si>
    <t xml:space="preserve">Democratic Republic of the Congo</t>
  </si>
  <si>
    <t xml:space="preserve">Equatorial Guinea</t>
  </si>
  <si>
    <t xml:space="preserve">Gabon</t>
  </si>
  <si>
    <t xml:space="preserve">Sao Tome and Principe</t>
  </si>
  <si>
    <t xml:space="preserve">Algeria</t>
  </si>
  <si>
    <t xml:space="preserve">Northern Africa</t>
  </si>
  <si>
    <t xml:space="preserve">Egypt</t>
  </si>
  <si>
    <t xml:space="preserve">Libya</t>
  </si>
  <si>
    <t xml:space="preserve">Morocco</t>
  </si>
  <si>
    <t xml:space="preserve">Sudan</t>
  </si>
  <si>
    <t xml:space="preserve">Tunisia</t>
  </si>
  <si>
    <t xml:space="preserve">Western Sahara</t>
  </si>
  <si>
    <t xml:space="preserve">Botswana</t>
  </si>
  <si>
    <t xml:space="preserve">Southern Africa</t>
  </si>
  <si>
    <t xml:space="preserve">Eswatini</t>
  </si>
  <si>
    <t xml:space="preserve">Lesotho</t>
  </si>
  <si>
    <t xml:space="preserve">Namibia</t>
  </si>
  <si>
    <t xml:space="preserve">South Africa</t>
  </si>
  <si>
    <t xml:space="preserve">Benin</t>
  </si>
  <si>
    <t xml:space="preserve">Western Africa</t>
  </si>
  <si>
    <t xml:space="preserve">Burkina Faso</t>
  </si>
  <si>
    <t xml:space="preserve">Cabo Verde</t>
  </si>
  <si>
    <t xml:space="preserve">Côte d'Ivoire</t>
  </si>
  <si>
    <t xml:space="preserve">Gambia</t>
  </si>
  <si>
    <t xml:space="preserve">Ghana</t>
  </si>
  <si>
    <t xml:space="preserve">Guinea</t>
  </si>
  <si>
    <t xml:space="preserve">Guinea-Bissau</t>
  </si>
  <si>
    <t xml:space="preserve">Liberia</t>
  </si>
  <si>
    <t xml:space="preserve">Mali</t>
  </si>
  <si>
    <t xml:space="preserve">Mauritania</t>
  </si>
  <si>
    <t xml:space="preserve">Niger</t>
  </si>
  <si>
    <t xml:space="preserve">Nigeria</t>
  </si>
  <si>
    <t xml:space="preserve">Saint Helena</t>
  </si>
  <si>
    <t xml:space="preserve">Senegal</t>
  </si>
  <si>
    <t xml:space="preserve">Sierra Leone</t>
  </si>
  <si>
    <t xml:space="preserve">Togo</t>
  </si>
  <si>
    <t xml:space="preserve">Kazakhstan</t>
  </si>
  <si>
    <t xml:space="preserve">Asia</t>
  </si>
  <si>
    <t xml:space="preserve">Central and Southern Asia</t>
  </si>
  <si>
    <t xml:space="preserve">Central Asia</t>
  </si>
  <si>
    <t xml:space="preserve">Kyrgyzstan</t>
  </si>
  <si>
    <t xml:space="preserve">Tajikistan</t>
  </si>
  <si>
    <t xml:space="preserve">Turkmenistan</t>
  </si>
  <si>
    <t xml:space="preserve">Uzbekistan</t>
  </si>
  <si>
    <t xml:space="preserve">China</t>
  </si>
  <si>
    <t xml:space="preserve">Eastern and South-Eastern Asia</t>
  </si>
  <si>
    <t xml:space="preserve">Eastern Asia</t>
  </si>
  <si>
    <t xml:space="preserve">China, Hong Kong SAR</t>
  </si>
  <si>
    <t xml:space="preserve">China, Macao SAR</t>
  </si>
  <si>
    <t xml:space="preserve">China, Taiwan Province of China</t>
  </si>
  <si>
    <t xml:space="preserve">Dem. People's Republic of Korea</t>
  </si>
  <si>
    <t xml:space="preserve">Japan</t>
  </si>
  <si>
    <t xml:space="preserve">Mongolia</t>
  </si>
  <si>
    <t xml:space="preserve">Republic of Korea</t>
  </si>
  <si>
    <t xml:space="preserve">Afghanistan</t>
  </si>
  <si>
    <t xml:space="preserve">Southern Asia</t>
  </si>
  <si>
    <t xml:space="preserve">Bangladesh</t>
  </si>
  <si>
    <t xml:space="preserve">Bhutan</t>
  </si>
  <si>
    <t xml:space="preserve">India</t>
  </si>
  <si>
    <t xml:space="preserve">Iran (Islamic Republic of)</t>
  </si>
  <si>
    <t xml:space="preserve">Maldives</t>
  </si>
  <si>
    <t xml:space="preserve">Nepal</t>
  </si>
  <si>
    <t xml:space="preserve">Pakistan</t>
  </si>
  <si>
    <t xml:space="preserve">Sri Lanka</t>
  </si>
  <si>
    <t xml:space="preserve">Brunei Darussalam</t>
  </si>
  <si>
    <t xml:space="preserve">South-Eastern Asia</t>
  </si>
  <si>
    <t xml:space="preserve">Cambodia</t>
  </si>
  <si>
    <t xml:space="preserve">Indonesia</t>
  </si>
  <si>
    <t xml:space="preserve">Lao People's Democratic Republic</t>
  </si>
  <si>
    <t xml:space="preserve">Malaysia</t>
  </si>
  <si>
    <t xml:space="preserve">Myanmar</t>
  </si>
  <si>
    <t xml:space="preserve">Philippines</t>
  </si>
  <si>
    <t xml:space="preserve">Singapore</t>
  </si>
  <si>
    <t xml:space="preserve">Thailand</t>
  </si>
  <si>
    <t xml:space="preserve">Timor-Leste</t>
  </si>
  <si>
    <t xml:space="preserve">Viet Nam</t>
  </si>
  <si>
    <t xml:space="preserve">Armenia</t>
  </si>
  <si>
    <t xml:space="preserve">Northern Africa and Western Asia</t>
  </si>
  <si>
    <t xml:space="preserve">Western Asia</t>
  </si>
  <si>
    <t xml:space="preserve">Azerbaijan</t>
  </si>
  <si>
    <t xml:space="preserve">Bahrain</t>
  </si>
  <si>
    <t xml:space="preserve">Cyprus</t>
  </si>
  <si>
    <t xml:space="preserve">Georgia</t>
  </si>
  <si>
    <t xml:space="preserve">Iraq</t>
  </si>
  <si>
    <t xml:space="preserve">Israel</t>
  </si>
  <si>
    <t xml:space="preserve">Jordan</t>
  </si>
  <si>
    <t xml:space="preserve">Kuwait</t>
  </si>
  <si>
    <t xml:space="preserve">Lebanon</t>
  </si>
  <si>
    <t xml:space="preserve">Oman</t>
  </si>
  <si>
    <t xml:space="preserve">Qatar</t>
  </si>
  <si>
    <t xml:space="preserve">Saudi Arabia</t>
  </si>
  <si>
    <t xml:space="preserve">State of Palestine</t>
  </si>
  <si>
    <t xml:space="preserve">Syrian Arab Republic</t>
  </si>
  <si>
    <t xml:space="preserve">Türkiye</t>
  </si>
  <si>
    <t xml:space="preserve">United Arab Emirates</t>
  </si>
  <si>
    <t xml:space="preserve">Yemen</t>
  </si>
  <si>
    <t xml:space="preserve">Belarus</t>
  </si>
  <si>
    <t xml:space="preserve">Europe</t>
  </si>
  <si>
    <t xml:space="preserve">Europe and Northern America</t>
  </si>
  <si>
    <t xml:space="preserve">Eastern Europe</t>
  </si>
  <si>
    <t xml:space="preserve">Bulgaria</t>
  </si>
  <si>
    <t xml:space="preserve">Czechia</t>
  </si>
  <si>
    <t xml:space="preserve">Hungary</t>
  </si>
  <si>
    <t xml:space="preserve">Poland</t>
  </si>
  <si>
    <t xml:space="preserve">Republic of Moldova</t>
  </si>
  <si>
    <t xml:space="preserve">Romania</t>
  </si>
  <si>
    <t xml:space="preserve">Russian Federation</t>
  </si>
  <si>
    <t xml:space="preserve">Slovakia</t>
  </si>
  <si>
    <t xml:space="preserve">Ukraine</t>
  </si>
  <si>
    <t xml:space="preserve">Denmark</t>
  </si>
  <si>
    <t xml:space="preserve">Northern Europe</t>
  </si>
  <si>
    <t xml:space="preserve">Estonia</t>
  </si>
  <si>
    <t xml:space="preserve">Faroe Islands</t>
  </si>
  <si>
    <t xml:space="preserve">Finland</t>
  </si>
  <si>
    <t xml:space="preserve">Guernsey</t>
  </si>
  <si>
    <t xml:space="preserve">Iceland</t>
  </si>
  <si>
    <t xml:space="preserve">Ireland</t>
  </si>
  <si>
    <t xml:space="preserve">Isle of Man</t>
  </si>
  <si>
    <t xml:space="preserve">Jersey</t>
  </si>
  <si>
    <t xml:space="preserve">Latvia</t>
  </si>
  <si>
    <t xml:space="preserve">Lithuania</t>
  </si>
  <si>
    <t xml:space="preserve">Norway</t>
  </si>
  <si>
    <t xml:space="preserve">Sweden</t>
  </si>
  <si>
    <t xml:space="preserve">United Kingdom</t>
  </si>
  <si>
    <t xml:space="preserve">Albania</t>
  </si>
  <si>
    <t xml:space="preserve">Southern Europe</t>
  </si>
  <si>
    <t xml:space="preserve">Andorra</t>
  </si>
  <si>
    <t xml:space="preserve">Bosnia and Herzegovina</t>
  </si>
  <si>
    <t xml:space="preserve">Croatia</t>
  </si>
  <si>
    <t xml:space="preserve">Gibraltar</t>
  </si>
  <si>
    <t xml:space="preserve">Greece</t>
  </si>
  <si>
    <t xml:space="preserve">Holy See</t>
  </si>
  <si>
    <t xml:space="preserve">Italy</t>
  </si>
  <si>
    <t xml:space="preserve">Kosovo</t>
  </si>
  <si>
    <t xml:space="preserve">Malta</t>
  </si>
  <si>
    <t xml:space="preserve">Montenegro</t>
  </si>
  <si>
    <t xml:space="preserve">North Macedonia</t>
  </si>
  <si>
    <t xml:space="preserve">Portugal</t>
  </si>
  <si>
    <t xml:space="preserve">San Marino</t>
  </si>
  <si>
    <t xml:space="preserve">Serbia</t>
  </si>
  <si>
    <t xml:space="preserve">Slovenia</t>
  </si>
  <si>
    <t xml:space="preserve">Spain</t>
  </si>
  <si>
    <t xml:space="preserve">Austria</t>
  </si>
  <si>
    <t xml:space="preserve">Western Europe</t>
  </si>
  <si>
    <t xml:space="preserve">Belgium</t>
  </si>
  <si>
    <t xml:space="preserve">France</t>
  </si>
  <si>
    <t xml:space="preserve">Germany</t>
  </si>
  <si>
    <t xml:space="preserve">Liechtenstein</t>
  </si>
  <si>
    <t xml:space="preserve">Luxembourg</t>
  </si>
  <si>
    <t xml:space="preserve">Monaco</t>
  </si>
  <si>
    <t xml:space="preserve">Netherlands</t>
  </si>
  <si>
    <t xml:space="preserve">Switzerland</t>
  </si>
  <si>
    <t xml:space="preserve">Anguilla</t>
  </si>
  <si>
    <t xml:space="preserve">Americas</t>
  </si>
  <si>
    <t xml:space="preserve">Latin America and the Caribbean</t>
  </si>
  <si>
    <t xml:space="preserve">Caribbean</t>
  </si>
  <si>
    <t xml:space="preserve">Antigua and Barbuda</t>
  </si>
  <si>
    <t xml:space="preserve">Aruba</t>
  </si>
  <si>
    <t xml:space="preserve">Bahamas</t>
  </si>
  <si>
    <t xml:space="preserve">Barbados</t>
  </si>
  <si>
    <t xml:space="preserve">Bonaire, Sint Eustatius and Saba</t>
  </si>
  <si>
    <t xml:space="preserve">British Virgin Islands</t>
  </si>
  <si>
    <t xml:space="preserve">Cayman Islands</t>
  </si>
  <si>
    <t xml:space="preserve">Cuba</t>
  </si>
  <si>
    <t xml:space="preserve">Curaçao</t>
  </si>
  <si>
    <t xml:space="preserve">Dominica</t>
  </si>
  <si>
    <t xml:space="preserve">Dominican Republic</t>
  </si>
  <si>
    <t xml:space="preserve">Grenada</t>
  </si>
  <si>
    <t xml:space="preserve">Guadeloupe</t>
  </si>
  <si>
    <t xml:space="preserve">Haiti</t>
  </si>
  <si>
    <t xml:space="preserve">Jamaica</t>
  </si>
  <si>
    <t xml:space="preserve">Martinique</t>
  </si>
  <si>
    <t xml:space="preserve">Montserrat</t>
  </si>
  <si>
    <t xml:space="preserve">Puerto Rico</t>
  </si>
  <si>
    <t xml:space="preserve">Saint Barthélemy</t>
  </si>
  <si>
    <t xml:space="preserve">Saint Kitts and Nevis</t>
  </si>
  <si>
    <t xml:space="preserve">Saint Lucia</t>
  </si>
  <si>
    <t xml:space="preserve">Saint Martin (French part)</t>
  </si>
  <si>
    <t xml:space="preserve">Saint Vincent and the Grenadines</t>
  </si>
  <si>
    <t xml:space="preserve">Sint Maarten (Dutch part)</t>
  </si>
  <si>
    <t xml:space="preserve">Trinidad and Tobago</t>
  </si>
  <si>
    <t xml:space="preserve">Turks and Caicos Islands</t>
  </si>
  <si>
    <t xml:space="preserve">United States Virgin Islands</t>
  </si>
  <si>
    <t xml:space="preserve">Belize</t>
  </si>
  <si>
    <t xml:space="preserve">Central America</t>
  </si>
  <si>
    <t xml:space="preserve">Costa Rica</t>
  </si>
  <si>
    <t xml:space="preserve">El Salvador</t>
  </si>
  <si>
    <t xml:space="preserve">Guatemala</t>
  </si>
  <si>
    <t xml:space="preserve">Honduras</t>
  </si>
  <si>
    <t xml:space="preserve">Mexico</t>
  </si>
  <si>
    <t xml:space="preserve">Nicaragua</t>
  </si>
  <si>
    <t xml:space="preserve">Panama</t>
  </si>
  <si>
    <t xml:space="preserve">Argentina</t>
  </si>
  <si>
    <t xml:space="preserve">South America</t>
  </si>
  <si>
    <t xml:space="preserve">Bolivia (Plurinational State of)</t>
  </si>
  <si>
    <t xml:space="preserve">Brazil</t>
  </si>
  <si>
    <t xml:space="preserve">Chile</t>
  </si>
  <si>
    <t xml:space="preserve">Colombia</t>
  </si>
  <si>
    <t xml:space="preserve">Ecuador</t>
  </si>
  <si>
    <t xml:space="preserve">Falkland Islands (Malvinas)</t>
  </si>
  <si>
    <t xml:space="preserve">French Guiana</t>
  </si>
  <si>
    <t xml:space="preserve">Guyana</t>
  </si>
  <si>
    <t xml:space="preserve">Paraguay</t>
  </si>
  <si>
    <t xml:space="preserve">Peru</t>
  </si>
  <si>
    <t xml:space="preserve">Suriname</t>
  </si>
  <si>
    <t xml:space="preserve">Uruguay</t>
  </si>
  <si>
    <t xml:space="preserve">Venezuela (Bolivarian Republic of)</t>
  </si>
  <si>
    <t xml:space="preserve">Bermuda</t>
  </si>
  <si>
    <t xml:space="preserve">Northern America</t>
  </si>
  <si>
    <t xml:space="preserve">Canada</t>
  </si>
  <si>
    <t xml:space="preserve">Greenland</t>
  </si>
  <si>
    <t xml:space="preserve">Saint Pierre and Miquelon</t>
  </si>
  <si>
    <t xml:space="preserve">United States of America</t>
  </si>
  <si>
    <t xml:space="preserve">Australia</t>
  </si>
  <si>
    <t xml:space="preserve">Oceania</t>
  </si>
  <si>
    <t xml:space="preserve">Australia/New Zealand</t>
  </si>
  <si>
    <t xml:space="preserve">Australia and New Zealand</t>
  </si>
  <si>
    <t xml:space="preserve">New Zealand</t>
  </si>
  <si>
    <t xml:space="preserve">Fiji</t>
  </si>
  <si>
    <t xml:space="preserve">Oceania (excl. Aus/NZ)</t>
  </si>
  <si>
    <t xml:space="preserve">Melanesia</t>
  </si>
  <si>
    <t xml:space="preserve">New Caledonia</t>
  </si>
  <si>
    <t xml:space="preserve">Papua New Guinea</t>
  </si>
  <si>
    <t xml:space="preserve">Solomon Islands</t>
  </si>
  <si>
    <t xml:space="preserve">Vanuatu</t>
  </si>
  <si>
    <t xml:space="preserve">Guam</t>
  </si>
  <si>
    <t xml:space="preserve">Micronesia</t>
  </si>
  <si>
    <t xml:space="preserve">Kiribati</t>
  </si>
  <si>
    <t xml:space="preserve">Marshall Islands</t>
  </si>
  <si>
    <t xml:space="preserve">Micronesia (Fed. States of)</t>
  </si>
  <si>
    <t xml:space="preserve">Nauru</t>
  </si>
  <si>
    <t xml:space="preserve">Northern Mariana Islands</t>
  </si>
  <si>
    <t xml:space="preserve">Palau</t>
  </si>
  <si>
    <t xml:space="preserve">American Samoa</t>
  </si>
  <si>
    <t xml:space="preserve">Polynesia</t>
  </si>
  <si>
    <t xml:space="preserve">Cook Islands</t>
  </si>
  <si>
    <t xml:space="preserve">French Polynesia</t>
  </si>
  <si>
    <t xml:space="preserve">Niue</t>
  </si>
  <si>
    <t xml:space="preserve">Samoa</t>
  </si>
  <si>
    <t xml:space="preserve">Tokelau</t>
  </si>
  <si>
    <t xml:space="preserve">Tonga</t>
  </si>
  <si>
    <t xml:space="preserve">Tuvalu</t>
  </si>
  <si>
    <t xml:space="preserve">Wallis and Futuna Islands</t>
  </si>
  <si>
    <t xml:space="preserve">Category</t>
  </si>
  <si>
    <t xml:space="preserve">Notes</t>
  </si>
  <si>
    <t xml:space="preserve">African Union</t>
  </si>
  <si>
    <t xml:space="preserve">Continental Body</t>
  </si>
  <si>
    <t xml:space="preserve">Pan-African intergovernmental union</t>
  </si>
  <si>
    <t xml:space="preserve">African, Caribbean and Pacific (ACP) Group of States</t>
  </si>
  <si>
    <t xml:space="preserve">Trade/Development</t>
  </si>
  <si>
    <t xml:space="preserve">78 members across Africa, Caribbean, Pacific</t>
  </si>
  <si>
    <t xml:space="preserve">Andean Community</t>
  </si>
  <si>
    <t xml:space="preserve">Trade Bloc</t>
  </si>
  <si>
    <t xml:space="preserve">South American trade bloc</t>
  </si>
  <si>
    <t xml:space="preserve">Asia-Pacific Economic Cooperation (APEC)</t>
  </si>
  <si>
    <t xml:space="preserve">Trade/Economic</t>
  </si>
  <si>
    <t xml:space="preserve">21 Pacific Rim economies</t>
  </si>
  <si>
    <t xml:space="preserve">Association of Southeast Asian Nations (ASEAN)</t>
  </si>
  <si>
    <t xml:space="preserve">Regional Bloc</t>
  </si>
  <si>
    <t xml:space="preserve">10 Southeast Asian nations</t>
  </si>
  <si>
    <t xml:space="preserve">AUKUS</t>
  </si>
  <si>
    <t xml:space="preserve">Security Alliance</t>
  </si>
  <si>
    <t xml:space="preserve">Australia, UK, United States</t>
  </si>
  <si>
    <t xml:space="preserve">Belt-Road Initiative (BRI)</t>
  </si>
  <si>
    <t xml:space="preserve">Infrastructure Initiative</t>
  </si>
  <si>
    <t xml:space="preserve">China-led infrastructure program</t>
  </si>
  <si>
    <t xml:space="preserve">Black Sea Economic Cooperation (BSEC)</t>
  </si>
  <si>
    <t xml:space="preserve">Black Sea regional cooperation</t>
  </si>
  <si>
    <t xml:space="preserve">Bolivarian Alliance for the Americas (ALBA)</t>
  </si>
  <si>
    <t xml:space="preserve">Political/Economic</t>
  </si>
  <si>
    <t xml:space="preserve">Left-leaning Latin American bloc</t>
  </si>
  <si>
    <t xml:space="preserve">BRICS</t>
  </si>
  <si>
    <t xml:space="preserve">Economic Group</t>
  </si>
  <si>
    <t xml:space="preserve">Brazil, Russia, India, China, South Africa + members</t>
  </si>
  <si>
    <t xml:space="preserve">CANZUK</t>
  </si>
  <si>
    <t xml:space="preserve">Proposed Group</t>
  </si>
  <si>
    <t xml:space="preserve">Canada, Australia, New Zealand, United Kingdom</t>
  </si>
  <si>
    <t xml:space="preserve">Caribbean Community and Common Market (CARICOM)</t>
  </si>
  <si>
    <t xml:space="preserve">Caribbean integration community</t>
  </si>
  <si>
    <t xml:space="preserve">Central European Free Trade Agreement (CEFTA)</t>
  </si>
  <si>
    <t xml:space="preserve">Southeast European free trade</t>
  </si>
  <si>
    <t xml:space="preserve">Commonwealth of Independent States (CIS)</t>
  </si>
  <si>
    <t xml:space="preserve">Post-Soviet states</t>
  </si>
  <si>
    <t xml:space="preserve">Commonwealth of Nations</t>
  </si>
  <si>
    <t xml:space="preserve">Intergovernmental</t>
  </si>
  <si>
    <t xml:space="preserve">Former British Empire members</t>
  </si>
  <si>
    <t xml:space="preserve">East African Community (EAC)</t>
  </si>
  <si>
    <t xml:space="preserve">East African integration</t>
  </si>
  <si>
    <t xml:space="preserve">Economic Community of Central African States (ECCAS)</t>
  </si>
  <si>
    <t xml:space="preserve">Central African cooperation</t>
  </si>
  <si>
    <t xml:space="preserve">Economic Community of West African States (ECOWAS)</t>
  </si>
  <si>
    <t xml:space="preserve">West African integration</t>
  </si>
  <si>
    <t xml:space="preserve">Economic Cooperation Organization (ECO)</t>
  </si>
  <si>
    <t xml:space="preserve">Eurasian/Middle East economic cooperation</t>
  </si>
  <si>
    <t xml:space="preserve">Eurasian Economic Community (Eurasec)</t>
  </si>
  <si>
    <t xml:space="preserve">Post-Soviet economic community</t>
  </si>
  <si>
    <t xml:space="preserve">European Free Trade Agreement (EFTA)</t>
  </si>
  <si>
    <t xml:space="preserve">Non-EU European free trade</t>
  </si>
  <si>
    <t xml:space="preserve">European Union (EU: 27)</t>
  </si>
  <si>
    <t xml:space="preserve">Supranational</t>
  </si>
  <si>
    <t xml:space="preserve">Current EU membership</t>
  </si>
  <si>
    <t xml:space="preserve">Five Eyes (FVEY)</t>
  </si>
  <si>
    <t xml:space="preserve">Intelligence Alliance</t>
  </si>
  <si>
    <t xml:space="preserve">US, UK, Canada, Australia, New Zealand</t>
  </si>
  <si>
    <t xml:space="preserve">Greater Arab Free Trade Area (GAFTA)</t>
  </si>
  <si>
    <t xml:space="preserve">Arab world free trade area</t>
  </si>
  <si>
    <t xml:space="preserve">Group of Seven (G7)</t>
  </si>
  <si>
    <t xml:space="preserve">Major advanced economies</t>
  </si>
  <si>
    <t xml:space="preserve">Group of Eight (G8)</t>
  </si>
  <si>
    <t xml:space="preserve">Former G7 + Russia</t>
  </si>
  <si>
    <t xml:space="preserve">Group of Twenty (G20)</t>
  </si>
  <si>
    <t xml:space="preserve">Major world economies</t>
  </si>
  <si>
    <t xml:space="preserve">Group of 77 (G77)</t>
  </si>
  <si>
    <t xml:space="preserve">Political Group</t>
  </si>
  <si>
    <t xml:space="preserve">Developing nations coalition at UN</t>
  </si>
  <si>
    <t xml:space="preserve">Gulf Cooperation Council (GCC)</t>
  </si>
  <si>
    <t xml:space="preserve">Persian Gulf Arab states</t>
  </si>
  <si>
    <t xml:space="preserve">Indo-Pacific Economic Framework (IPEF)</t>
  </si>
  <si>
    <t xml:space="preserve">US-led Indo-Pacific trade framework</t>
  </si>
  <si>
    <t xml:space="preserve">Lancang-Mekong Cooperation (LMC)</t>
  </si>
  <si>
    <t xml:space="preserve">Mekong River basin cooperation</t>
  </si>
  <si>
    <t xml:space="preserve">Latin American Integration Association (ALADI)</t>
  </si>
  <si>
    <t xml:space="preserve">Latin American trade integration</t>
  </si>
  <si>
    <t xml:space="preserve">League of Arab States (Arab League)</t>
  </si>
  <si>
    <t xml:space="preserve">Regional Body</t>
  </si>
  <si>
    <t xml:space="preserve">Arab world intergovernmental organization</t>
  </si>
  <si>
    <t xml:space="preserve">North Atlantic Treaty Organization (NATO)</t>
  </si>
  <si>
    <t xml:space="preserve">Military Alliance</t>
  </si>
  <si>
    <t xml:space="preserve">North Atlantic defence alliance</t>
  </si>
  <si>
    <t xml:space="preserve">Organisation for Economic Co-operation and Development (OECD)</t>
  </si>
  <si>
    <t xml:space="preserve">Developed economy policy forum</t>
  </si>
  <si>
    <t xml:space="preserve">Organization for Security and Co-operation in Europe (OSCE)</t>
  </si>
  <si>
    <t xml:space="preserve">Security</t>
  </si>
  <si>
    <t xml:space="preserve">European security organization</t>
  </si>
  <si>
    <t xml:space="preserve">Organization of American States (OAS)</t>
  </si>
  <si>
    <t xml:space="preserve">Hemispheric organization of the Americas</t>
  </si>
  <si>
    <t xml:space="preserve">Organization of Islamic Cooperation (OIC)</t>
  </si>
  <si>
    <t xml:space="preserve">Islamic world cooperation</t>
  </si>
  <si>
    <t xml:space="preserve">Organization of Petroleum Exporting countries (OPEC)</t>
  </si>
  <si>
    <t xml:space="preserve">Oil producer cartel</t>
  </si>
  <si>
    <t xml:space="preserve">Quadrilateral Security Dialogue (Quad)</t>
  </si>
  <si>
    <t xml:space="preserve">Security Group</t>
  </si>
  <si>
    <t xml:space="preserve">US, India, Japan, Australia</t>
  </si>
  <si>
    <t xml:space="preserve">Shanghai Cooperation Organization (SCO)</t>
  </si>
  <si>
    <t xml:space="preserve">Eurasian security/economic organization</t>
  </si>
  <si>
    <t xml:space="preserve">South Asian Association for Regional Cooperation (SAARC)</t>
  </si>
  <si>
    <t xml:space="preserve">South Asian cooperation</t>
  </si>
  <si>
    <t xml:space="preserve">Southern African Development Community (SADC)</t>
  </si>
  <si>
    <t xml:space="preserve">Southern African integration</t>
  </si>
  <si>
    <t xml:space="preserve">Southern Common Market (MERCOSUR)</t>
  </si>
  <si>
    <t xml:space="preserve">South American common market</t>
  </si>
  <si>
    <t xml:space="preserve">United Nations Member States</t>
  </si>
  <si>
    <t xml:space="preserve">UN Group</t>
  </si>
  <si>
    <t xml:space="preserve">All UN member countries</t>
  </si>
  <si>
    <t xml:space="preserve">United States-Mexico-Canada Agreement (USMCA)</t>
  </si>
  <si>
    <t xml:space="preserve">North American free trade agreement</t>
  </si>
  <si>
    <t xml:space="preserve">West African Economic and Monetary Union (UEMOA)</t>
  </si>
  <si>
    <t xml:space="preserve">Economic Union</t>
  </si>
  <si>
    <t xml:space="preserve">West African monetary union</t>
  </si>
  <si>
    <t xml:space="preserve">Western European and Others Group (WEOG)</t>
  </si>
  <si>
    <t xml:space="preserve">UN regional group</t>
  </si>
  <si>
    <t xml:space="preserve">Eastern European Group</t>
  </si>
  <si>
    <t xml:space="preserve">Latin American and Caribbean Group (GRULAC)</t>
  </si>
  <si>
    <t xml:space="preserve">UN regional group for LATAM/Caribbean</t>
  </si>
  <si>
    <t xml:space="preserve">Asia-Pacific Group</t>
  </si>
  <si>
    <t xml:space="preserve">African Group</t>
  </si>
  <si>
    <t xml:space="preserve">UN regional group for Africa</t>
  </si>
  <si>
    <t xml:space="preserve">Alias_Name</t>
  </si>
  <si>
    <t xml:space="preserve">Standard_Name</t>
  </si>
  <si>
    <t xml:space="preserve">Bolivia</t>
  </si>
  <si>
    <t xml:space="preserve">Czech Republic</t>
  </si>
  <si>
    <t xml:space="preserve">Hong Kong SAR</t>
  </si>
  <si>
    <t xml:space="preserve">Islamic Republic of Iran</t>
  </si>
  <si>
    <t xml:space="preserve">Korea</t>
  </si>
  <si>
    <t xml:space="preserve">Kosovo (under UNSC res. 1244)</t>
  </si>
  <si>
    <t xml:space="preserve">Kyrgyz Republic</t>
  </si>
  <si>
    <t xml:space="preserve">Lao P.D.R.</t>
  </si>
  <si>
    <t xml:space="preserve">Macao SAR</t>
  </si>
  <si>
    <t xml:space="preserve">Moldova</t>
  </si>
  <si>
    <t xml:space="preserve">Republic of Congo</t>
  </si>
  <si>
    <t xml:space="preserve">Russia</t>
  </si>
  <si>
    <t xml:space="preserve">Slovak Republic</t>
  </si>
  <si>
    <t xml:space="preserve">St. Kitts and Nevis</t>
  </si>
  <si>
    <t xml:space="preserve">St. Lucia</t>
  </si>
  <si>
    <t xml:space="preserve">St. Vincent and the Grenadines</t>
  </si>
  <si>
    <t xml:space="preserve">Syria</t>
  </si>
  <si>
    <t xml:space="preserve">São Tomé and Príncipe</t>
  </si>
  <si>
    <t xml:space="preserve">Taiwan Province of China</t>
  </si>
  <si>
    <t xml:space="preserve">Tanzania</t>
  </si>
  <si>
    <t xml:space="preserve">The Bahamas</t>
  </si>
  <si>
    <t xml:space="preserve">The Gambia</t>
  </si>
  <si>
    <t xml:space="preserve">United States</t>
  </si>
  <si>
    <t xml:space="preserve">Venezuela</t>
  </si>
  <si>
    <t xml:space="preserve">Vietnam</t>
  </si>
  <si>
    <t xml:space="preserve">West Bank and Gaza</t>
  </si>
  <si>
    <t xml:space="preserve">occupied Palestinian territory</t>
  </si>
  <si>
    <t xml:space="preserve">Bonaire, Sint Eustasius and Saba</t>
  </si>
  <si>
    <t xml:space="preserve">Democratic People's Republic of Korea</t>
  </si>
  <si>
    <t xml:space="preserve">Micronesia (Federated States of)</t>
  </si>
  <si>
    <t xml:space="preserve">Netherlands (Kingdom of the)</t>
  </si>
  <si>
    <t xml:space="preserve">Saint Barthelemy</t>
  </si>
  <si>
    <t xml:space="preserve">Metric</t>
  </si>
  <si>
    <t xml:space="preserve">Count</t>
  </si>
  <si>
    <t xml:space="preserve">Total Countries/Territories</t>
  </si>
  <si>
    <t xml:space="preserve">Countries (sovereign)</t>
  </si>
  <si>
    <t xml:space="preserve">Territories / Dependencies</t>
  </si>
  <si>
    <t xml:space="preserve">Total Organizations/Groups</t>
  </si>
  <si>
    <t xml:space="preserve">Trade Blocs</t>
  </si>
  <si>
    <t xml:space="preserve">Military/Security Alliances</t>
  </si>
  <si>
    <t xml:space="preserve">Economic Groups</t>
  </si>
  <si>
    <t xml:space="preserve">Regional Blocs</t>
  </si>
  <si>
    <t xml:space="preserve">UN Groups</t>
  </si>
  <si>
    <t xml:space="preserve">Total Alias Mappings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</si>
</sst>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6EAF8"/>
      </patternFill>
    </fill>
    <fill>
      <patternFill patternType="solid">
        <fgColor rgb="FFFFF3CD"/>
        <bgColor rgb="FFFDEBD0"/>
      </patternFill>
    </fill>
    <fill>
      <patternFill patternType="solid">
        <fgColor rgb="FFF4ECF7"/>
        <bgColor rgb="FFF2F2F2"/>
      </patternFill>
    </fill>
    <fill>
      <patternFill patternType="solid">
        <fgColor rgb="FFFFFFFF"/>
        <bgColor rgb="FFFDFEFE"/>
      </patternFill>
    </fill>
    <fill>
      <patternFill patternType="solid">
        <fgColor rgb="FFD5F5E3"/>
        <bgColor rgb="FFD6EAF8"/>
      </patternFill>
    </fill>
    <fill>
      <patternFill patternType="solid">
        <fgColor rgb="FFEBF5FB"/>
        <bgColor rgb="FFEEF2FF"/>
      </patternFill>
    </fill>
    <fill>
      <patternFill patternType="solid">
        <fgColor rgb="FFFADBD8"/>
        <bgColor rgb="FFFDEBD0"/>
      </patternFill>
    </fill>
    <fill>
      <patternFill patternType="solid">
        <fgColor rgb="FFFDFEFE"/>
        <bgColor rgb="FFFFFFFF"/>
      </patternFill>
    </fill>
    <fill>
      <patternFill patternType="solid">
        <fgColor rgb="FFFDEBD0"/>
        <bgColor rgb="FFFFF3CD"/>
      </patternFill>
    </fill>
    <fill>
      <patternFill patternType="solid">
        <fgColor rgb="FFFEF9E7"/>
        <bgColor rgb="FFFDFEFE"/>
      </patternFill>
    </fill>
    <fill>
      <patternFill patternType="solid">
        <fgColor rgb="FFF0F3FF"/>
        <bgColor rgb="FFEEF2FF"/>
      </patternFill>
    </fill>
    <fill>
      <patternFill patternType="solid">
        <fgColor rgb="FFD6EAF8"/>
        <bgColor rgb="FFD6E4F0"/>
      </patternFill>
    </fill>
    <fill>
      <patternFill patternType="solid">
        <fgColor rgb="FFE8F8F5"/>
        <bgColor rgb="FFEBF5FB"/>
      </patternFill>
    </fill>
    <fill>
      <patternFill patternType="solid">
        <fgColor rgb="FFEEF2FF"/>
        <bgColor rgb="FFF0F3FF"/>
      </patternFill>
    </fill>
    <fill>
      <patternFill patternType="solid">
        <fgColor rgb="FFF2F2F2"/>
        <bgColor rgb="FFF0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0F3FF"/>
          <bgColor rgb="FF000000"/>
        </patternFill>
      </fill>
    </dxf>
    <dxf>
      <fill>
        <patternFill patternType="solid">
          <fgColor rgb="FFF4ECF7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EEF2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0F3FF"/>
      <rgbColor rgb="FF993366"/>
      <rgbColor rgb="FFFFF3CD"/>
      <rgbColor rgb="FFE8F8F5"/>
      <rgbColor rgb="FF660066"/>
      <rgbColor rgb="FFFF8080"/>
      <rgbColor rgb="FF0066CC"/>
      <rgbColor rgb="FFD6E4F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EBF5FB"/>
      <rgbColor rgb="FFF4ECF7"/>
      <rgbColor rgb="FFEEF2FF"/>
      <rgbColor rgb="FFFADBD8"/>
      <rgbColor rgb="FF3366FF"/>
      <rgbColor rgb="FF33CCCC"/>
      <rgbColor rgb="FF99CC00"/>
      <rgbColor rgb="FFFDFEFE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35"/>
    <col collapsed="false" customWidth="true" hidden="false" outlineLevel="0" max="5" min="5" style="0" width="2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customFormat="false" ht="15" hidden="false" customHeight="false" outlineLevel="0" collapsed="false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customFormat="false" ht="15" hidden="false" customHeight="false" outlineLevel="0" collapsed="false">
      <c r="A5" s="2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customFormat="false" ht="15" hidden="false" customHeight="false" outlineLevel="0" collapsed="false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 customFormat="false" ht="15" hidden="false" customHeight="false" outlineLevel="0" collapsed="false">
      <c r="A7" s="2" t="s">
        <v>14</v>
      </c>
      <c r="B7" s="2" t="s">
        <v>6</v>
      </c>
      <c r="C7" s="2" t="s">
        <v>7</v>
      </c>
      <c r="D7" s="2" t="s">
        <v>8</v>
      </c>
      <c r="E7" s="2" t="s">
        <v>9</v>
      </c>
    </row>
    <row r="8" customFormat="false" ht="15" hidden="false" customHeight="false" outlineLevel="0" collapsed="false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 customFormat="false" ht="15" hidden="false" customHeight="false" outlineLevel="0" collapsed="false">
      <c r="A9" s="2" t="s">
        <v>16</v>
      </c>
      <c r="B9" s="2" t="s">
        <v>6</v>
      </c>
      <c r="C9" s="2" t="s">
        <v>7</v>
      </c>
      <c r="D9" s="2" t="s">
        <v>8</v>
      </c>
      <c r="E9" s="2" t="s">
        <v>9</v>
      </c>
    </row>
    <row r="10" customFormat="false" ht="15" hidden="false" customHeight="false" outlineLevel="0" collapsed="false">
      <c r="A10" s="2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 customFormat="false" ht="15" hidden="false" customHeight="false" outlineLevel="0" collapsed="false">
      <c r="A11" s="3" t="s">
        <v>18</v>
      </c>
      <c r="B11" s="3" t="s">
        <v>19</v>
      </c>
      <c r="C11" s="3" t="s">
        <v>7</v>
      </c>
      <c r="D11" s="3" t="s">
        <v>8</v>
      </c>
      <c r="E11" s="3" t="s">
        <v>9</v>
      </c>
    </row>
    <row r="12" customFormat="false" ht="15" hidden="false" customHeight="false" outlineLevel="0" collapsed="false">
      <c r="A12" s="2" t="s">
        <v>20</v>
      </c>
      <c r="B12" s="2" t="s">
        <v>6</v>
      </c>
      <c r="C12" s="2" t="s">
        <v>7</v>
      </c>
      <c r="D12" s="2" t="s">
        <v>8</v>
      </c>
      <c r="E12" s="2" t="s">
        <v>9</v>
      </c>
    </row>
    <row r="13" customFormat="false" ht="15" hidden="false" customHeight="false" outlineLevel="0" collapsed="false">
      <c r="A13" s="3" t="s">
        <v>21</v>
      </c>
      <c r="B13" s="3" t="s">
        <v>19</v>
      </c>
      <c r="C13" s="3" t="s">
        <v>7</v>
      </c>
      <c r="D13" s="3" t="s">
        <v>8</v>
      </c>
      <c r="E13" s="3" t="s">
        <v>9</v>
      </c>
    </row>
    <row r="14" customFormat="false" ht="15" hidden="false" customHeight="false" outlineLevel="0" collapsed="false">
      <c r="A14" s="2" t="s">
        <v>22</v>
      </c>
      <c r="B14" s="2" t="s">
        <v>6</v>
      </c>
      <c r="C14" s="2" t="s">
        <v>7</v>
      </c>
      <c r="D14" s="2" t="s">
        <v>8</v>
      </c>
      <c r="E14" s="2" t="s">
        <v>9</v>
      </c>
    </row>
    <row r="15" customFormat="false" ht="15" hidden="false" customHeight="false" outlineLevel="0" collapsed="false">
      <c r="A15" s="2" t="s">
        <v>23</v>
      </c>
      <c r="B15" s="2" t="s">
        <v>6</v>
      </c>
      <c r="C15" s="2" t="s">
        <v>7</v>
      </c>
      <c r="D15" s="2" t="s">
        <v>8</v>
      </c>
      <c r="E15" s="2" t="s">
        <v>9</v>
      </c>
    </row>
    <row r="16" customFormat="false" ht="15" hidden="false" customHeight="false" outlineLevel="0" collapsed="false">
      <c r="A16" s="2" t="s">
        <v>24</v>
      </c>
      <c r="B16" s="2" t="s">
        <v>6</v>
      </c>
      <c r="C16" s="2" t="s">
        <v>7</v>
      </c>
      <c r="D16" s="2" t="s">
        <v>8</v>
      </c>
      <c r="E16" s="2" t="s">
        <v>9</v>
      </c>
    </row>
    <row r="17" customFormat="false" ht="15" hidden="false" customHeight="false" outlineLevel="0" collapsed="false">
      <c r="A17" s="2" t="s">
        <v>25</v>
      </c>
      <c r="B17" s="2" t="s">
        <v>6</v>
      </c>
      <c r="C17" s="2" t="s">
        <v>7</v>
      </c>
      <c r="D17" s="2" t="s">
        <v>8</v>
      </c>
      <c r="E17" s="2" t="s">
        <v>9</v>
      </c>
    </row>
    <row r="18" customFormat="false" ht="15" hidden="false" customHeight="false" outlineLevel="0" collapsed="false">
      <c r="A18" s="2" t="s">
        <v>26</v>
      </c>
      <c r="B18" s="2" t="s">
        <v>6</v>
      </c>
      <c r="C18" s="2" t="s">
        <v>7</v>
      </c>
      <c r="D18" s="2" t="s">
        <v>8</v>
      </c>
      <c r="E18" s="2" t="s">
        <v>9</v>
      </c>
    </row>
    <row r="19" customFormat="false" ht="15" hidden="false" customHeight="false" outlineLevel="0" collapsed="false">
      <c r="A19" s="2" t="s">
        <v>27</v>
      </c>
      <c r="B19" s="2" t="s">
        <v>6</v>
      </c>
      <c r="C19" s="2" t="s">
        <v>7</v>
      </c>
      <c r="D19" s="2" t="s">
        <v>8</v>
      </c>
      <c r="E19" s="2" t="s">
        <v>9</v>
      </c>
    </row>
    <row r="20" customFormat="false" ht="15" hidden="false" customHeight="false" outlineLevel="0" collapsed="false">
      <c r="A20" s="2" t="s">
        <v>28</v>
      </c>
      <c r="B20" s="2" t="s">
        <v>6</v>
      </c>
      <c r="C20" s="2" t="s">
        <v>7</v>
      </c>
      <c r="D20" s="2" t="s">
        <v>8</v>
      </c>
      <c r="E20" s="2" t="s">
        <v>9</v>
      </c>
    </row>
    <row r="21" customFormat="false" ht="15" hidden="false" customHeight="false" outlineLevel="0" collapsed="false">
      <c r="A21" s="2" t="s">
        <v>29</v>
      </c>
      <c r="B21" s="2" t="s">
        <v>6</v>
      </c>
      <c r="C21" s="2" t="s">
        <v>7</v>
      </c>
      <c r="D21" s="2" t="s">
        <v>8</v>
      </c>
      <c r="E21" s="2" t="s">
        <v>9</v>
      </c>
    </row>
    <row r="22" customFormat="false" ht="15" hidden="false" customHeight="false" outlineLevel="0" collapsed="false">
      <c r="A22" s="2" t="s">
        <v>30</v>
      </c>
      <c r="B22" s="2" t="s">
        <v>6</v>
      </c>
      <c r="C22" s="2" t="s">
        <v>7</v>
      </c>
      <c r="D22" s="2" t="s">
        <v>8</v>
      </c>
      <c r="E22" s="2" t="s">
        <v>31</v>
      </c>
    </row>
    <row r="23" customFormat="false" ht="15" hidden="false" customHeight="false" outlineLevel="0" collapsed="false">
      <c r="A23" s="2" t="s">
        <v>32</v>
      </c>
      <c r="B23" s="2" t="s">
        <v>6</v>
      </c>
      <c r="C23" s="2" t="s">
        <v>7</v>
      </c>
      <c r="D23" s="2" t="s">
        <v>8</v>
      </c>
      <c r="E23" s="2" t="s">
        <v>31</v>
      </c>
    </row>
    <row r="24" customFormat="false" ht="15" hidden="false" customHeight="false" outlineLevel="0" collapsed="false">
      <c r="A24" s="2" t="s">
        <v>33</v>
      </c>
      <c r="B24" s="2" t="s">
        <v>6</v>
      </c>
      <c r="C24" s="2" t="s">
        <v>7</v>
      </c>
      <c r="D24" s="2" t="s">
        <v>8</v>
      </c>
      <c r="E24" s="2" t="s">
        <v>31</v>
      </c>
    </row>
    <row r="25" customFormat="false" ht="15" hidden="false" customHeight="false" outlineLevel="0" collapsed="false">
      <c r="A25" s="2" t="s">
        <v>34</v>
      </c>
      <c r="B25" s="2" t="s">
        <v>6</v>
      </c>
      <c r="C25" s="2" t="s">
        <v>7</v>
      </c>
      <c r="D25" s="2" t="s">
        <v>8</v>
      </c>
      <c r="E25" s="2" t="s">
        <v>31</v>
      </c>
    </row>
    <row r="26" customFormat="false" ht="15" hidden="false" customHeight="false" outlineLevel="0" collapsed="false">
      <c r="A26" s="2" t="s">
        <v>35</v>
      </c>
      <c r="B26" s="2" t="s">
        <v>6</v>
      </c>
      <c r="C26" s="2" t="s">
        <v>7</v>
      </c>
      <c r="D26" s="2" t="s">
        <v>8</v>
      </c>
      <c r="E26" s="2" t="s">
        <v>31</v>
      </c>
    </row>
    <row r="27" customFormat="false" ht="15" hidden="false" customHeight="false" outlineLevel="0" collapsed="false">
      <c r="A27" s="2" t="s">
        <v>36</v>
      </c>
      <c r="B27" s="2" t="s">
        <v>6</v>
      </c>
      <c r="C27" s="2" t="s">
        <v>7</v>
      </c>
      <c r="D27" s="2" t="s">
        <v>8</v>
      </c>
      <c r="E27" s="2" t="s">
        <v>31</v>
      </c>
    </row>
    <row r="28" customFormat="false" ht="15" hidden="false" customHeight="false" outlineLevel="0" collapsed="false">
      <c r="A28" s="2" t="s">
        <v>37</v>
      </c>
      <c r="B28" s="2" t="s">
        <v>6</v>
      </c>
      <c r="C28" s="2" t="s">
        <v>7</v>
      </c>
      <c r="D28" s="2" t="s">
        <v>8</v>
      </c>
      <c r="E28" s="2" t="s">
        <v>31</v>
      </c>
    </row>
    <row r="29" customFormat="false" ht="15" hidden="false" customHeight="false" outlineLevel="0" collapsed="false">
      <c r="A29" s="2" t="s">
        <v>38</v>
      </c>
      <c r="B29" s="2" t="s">
        <v>6</v>
      </c>
      <c r="C29" s="2" t="s">
        <v>7</v>
      </c>
      <c r="D29" s="2" t="s">
        <v>8</v>
      </c>
      <c r="E29" s="2" t="s">
        <v>31</v>
      </c>
    </row>
    <row r="30" customFormat="false" ht="15" hidden="false" customHeight="false" outlineLevel="0" collapsed="false">
      <c r="A30" s="2" t="s">
        <v>39</v>
      </c>
      <c r="B30" s="2" t="s">
        <v>6</v>
      </c>
      <c r="C30" s="2" t="s">
        <v>7</v>
      </c>
      <c r="D30" s="2" t="s">
        <v>8</v>
      </c>
      <c r="E30" s="2" t="s">
        <v>31</v>
      </c>
    </row>
    <row r="31" customFormat="false" ht="15" hidden="false" customHeight="false" outlineLevel="0" collapsed="false">
      <c r="A31" s="2" t="s">
        <v>40</v>
      </c>
      <c r="B31" s="2" t="s">
        <v>6</v>
      </c>
      <c r="C31" s="2" t="s">
        <v>7</v>
      </c>
      <c r="D31" s="2" t="s">
        <v>41</v>
      </c>
      <c r="E31" s="2" t="s">
        <v>41</v>
      </c>
    </row>
    <row r="32" customFormat="false" ht="15" hidden="false" customHeight="false" outlineLevel="0" collapsed="false">
      <c r="A32" s="2" t="s">
        <v>42</v>
      </c>
      <c r="B32" s="2" t="s">
        <v>6</v>
      </c>
      <c r="C32" s="2" t="s">
        <v>7</v>
      </c>
      <c r="D32" s="2" t="s">
        <v>41</v>
      </c>
      <c r="E32" s="2" t="s">
        <v>41</v>
      </c>
    </row>
    <row r="33" customFormat="false" ht="15" hidden="false" customHeight="false" outlineLevel="0" collapsed="false">
      <c r="A33" s="2" t="s">
        <v>43</v>
      </c>
      <c r="B33" s="2" t="s">
        <v>6</v>
      </c>
      <c r="C33" s="2" t="s">
        <v>7</v>
      </c>
      <c r="D33" s="2" t="s">
        <v>41</v>
      </c>
      <c r="E33" s="2" t="s">
        <v>41</v>
      </c>
    </row>
    <row r="34" customFormat="false" ht="15" hidden="false" customHeight="false" outlineLevel="0" collapsed="false">
      <c r="A34" s="2" t="s">
        <v>44</v>
      </c>
      <c r="B34" s="2" t="s">
        <v>6</v>
      </c>
      <c r="C34" s="2" t="s">
        <v>7</v>
      </c>
      <c r="D34" s="2" t="s">
        <v>41</v>
      </c>
      <c r="E34" s="2" t="s">
        <v>41</v>
      </c>
    </row>
    <row r="35" customFormat="false" ht="15" hidden="false" customHeight="false" outlineLevel="0" collapsed="false">
      <c r="A35" s="2" t="s">
        <v>45</v>
      </c>
      <c r="B35" s="2" t="s">
        <v>6</v>
      </c>
      <c r="C35" s="2" t="s">
        <v>7</v>
      </c>
      <c r="D35" s="2" t="s">
        <v>41</v>
      </c>
      <c r="E35" s="2" t="s">
        <v>41</v>
      </c>
    </row>
    <row r="36" customFormat="false" ht="15" hidden="false" customHeight="false" outlineLevel="0" collapsed="false">
      <c r="A36" s="2" t="s">
        <v>46</v>
      </c>
      <c r="B36" s="2" t="s">
        <v>6</v>
      </c>
      <c r="C36" s="2" t="s">
        <v>7</v>
      </c>
      <c r="D36" s="2" t="s">
        <v>41</v>
      </c>
      <c r="E36" s="2" t="s">
        <v>41</v>
      </c>
    </row>
    <row r="37" customFormat="false" ht="15" hidden="false" customHeight="false" outlineLevel="0" collapsed="false">
      <c r="A37" s="3" t="s">
        <v>47</v>
      </c>
      <c r="B37" s="3" t="s">
        <v>19</v>
      </c>
      <c r="C37" s="3" t="s">
        <v>7</v>
      </c>
      <c r="D37" s="3" t="s">
        <v>41</v>
      </c>
      <c r="E37" s="3" t="s">
        <v>41</v>
      </c>
    </row>
    <row r="38" customFormat="false" ht="15" hidden="false" customHeight="false" outlineLevel="0" collapsed="false">
      <c r="A38" s="2" t="s">
        <v>48</v>
      </c>
      <c r="B38" s="2" t="s">
        <v>6</v>
      </c>
      <c r="C38" s="2" t="s">
        <v>7</v>
      </c>
      <c r="D38" s="2" t="s">
        <v>8</v>
      </c>
      <c r="E38" s="2" t="s">
        <v>49</v>
      </c>
    </row>
    <row r="39" customFormat="false" ht="15" hidden="false" customHeight="false" outlineLevel="0" collapsed="false">
      <c r="A39" s="2" t="s">
        <v>50</v>
      </c>
      <c r="B39" s="2" t="s">
        <v>6</v>
      </c>
      <c r="C39" s="2" t="s">
        <v>7</v>
      </c>
      <c r="D39" s="2" t="s">
        <v>8</v>
      </c>
      <c r="E39" s="2" t="s">
        <v>49</v>
      </c>
    </row>
    <row r="40" customFormat="false" ht="15" hidden="false" customHeight="false" outlineLevel="0" collapsed="false">
      <c r="A40" s="2" t="s">
        <v>51</v>
      </c>
      <c r="B40" s="2" t="s">
        <v>6</v>
      </c>
      <c r="C40" s="2" t="s">
        <v>7</v>
      </c>
      <c r="D40" s="2" t="s">
        <v>8</v>
      </c>
      <c r="E40" s="2" t="s">
        <v>49</v>
      </c>
    </row>
    <row r="41" customFormat="false" ht="15" hidden="false" customHeight="false" outlineLevel="0" collapsed="false">
      <c r="A41" s="2" t="s">
        <v>52</v>
      </c>
      <c r="B41" s="2" t="s">
        <v>6</v>
      </c>
      <c r="C41" s="2" t="s">
        <v>7</v>
      </c>
      <c r="D41" s="2" t="s">
        <v>8</v>
      </c>
      <c r="E41" s="2" t="s">
        <v>49</v>
      </c>
    </row>
    <row r="42" customFormat="false" ht="15" hidden="false" customHeight="false" outlineLevel="0" collapsed="false">
      <c r="A42" s="2" t="s">
        <v>53</v>
      </c>
      <c r="B42" s="2" t="s">
        <v>6</v>
      </c>
      <c r="C42" s="2" t="s">
        <v>7</v>
      </c>
      <c r="D42" s="2" t="s">
        <v>8</v>
      </c>
      <c r="E42" s="2" t="s">
        <v>49</v>
      </c>
    </row>
    <row r="43" customFormat="false" ht="15" hidden="false" customHeight="false" outlineLevel="0" collapsed="false">
      <c r="A43" s="2" t="s">
        <v>54</v>
      </c>
      <c r="B43" s="2" t="s">
        <v>6</v>
      </c>
      <c r="C43" s="2" t="s">
        <v>7</v>
      </c>
      <c r="D43" s="2" t="s">
        <v>8</v>
      </c>
      <c r="E43" s="2" t="s">
        <v>55</v>
      </c>
    </row>
    <row r="44" customFormat="false" ht="15" hidden="false" customHeight="false" outlineLevel="0" collapsed="false">
      <c r="A44" s="2" t="s">
        <v>56</v>
      </c>
      <c r="B44" s="2" t="s">
        <v>6</v>
      </c>
      <c r="C44" s="2" t="s">
        <v>7</v>
      </c>
      <c r="D44" s="2" t="s">
        <v>8</v>
      </c>
      <c r="E44" s="2" t="s">
        <v>55</v>
      </c>
    </row>
    <row r="45" customFormat="false" ht="15" hidden="false" customHeight="false" outlineLevel="0" collapsed="false">
      <c r="A45" s="2" t="s">
        <v>57</v>
      </c>
      <c r="B45" s="2" t="s">
        <v>6</v>
      </c>
      <c r="C45" s="2" t="s">
        <v>7</v>
      </c>
      <c r="D45" s="2" t="s">
        <v>8</v>
      </c>
      <c r="E45" s="2" t="s">
        <v>55</v>
      </c>
    </row>
    <row r="46" customFormat="false" ht="15" hidden="false" customHeight="false" outlineLevel="0" collapsed="false">
      <c r="A46" s="2" t="s">
        <v>58</v>
      </c>
      <c r="B46" s="2" t="s">
        <v>6</v>
      </c>
      <c r="C46" s="2" t="s">
        <v>7</v>
      </c>
      <c r="D46" s="2" t="s">
        <v>8</v>
      </c>
      <c r="E46" s="2" t="s">
        <v>55</v>
      </c>
    </row>
    <row r="47" customFormat="false" ht="15" hidden="false" customHeight="false" outlineLevel="0" collapsed="false">
      <c r="A47" s="2" t="s">
        <v>59</v>
      </c>
      <c r="B47" s="2" t="s">
        <v>6</v>
      </c>
      <c r="C47" s="2" t="s">
        <v>7</v>
      </c>
      <c r="D47" s="2" t="s">
        <v>8</v>
      </c>
      <c r="E47" s="2" t="s">
        <v>55</v>
      </c>
    </row>
    <row r="48" customFormat="false" ht="15" hidden="false" customHeight="false" outlineLevel="0" collapsed="false">
      <c r="A48" s="2" t="s">
        <v>60</v>
      </c>
      <c r="B48" s="2" t="s">
        <v>6</v>
      </c>
      <c r="C48" s="2" t="s">
        <v>7</v>
      </c>
      <c r="D48" s="2" t="s">
        <v>8</v>
      </c>
      <c r="E48" s="2" t="s">
        <v>55</v>
      </c>
    </row>
    <row r="49" customFormat="false" ht="15" hidden="false" customHeight="false" outlineLevel="0" collapsed="false">
      <c r="A49" s="2" t="s">
        <v>61</v>
      </c>
      <c r="B49" s="2" t="s">
        <v>6</v>
      </c>
      <c r="C49" s="2" t="s">
        <v>7</v>
      </c>
      <c r="D49" s="2" t="s">
        <v>8</v>
      </c>
      <c r="E49" s="2" t="s">
        <v>55</v>
      </c>
    </row>
    <row r="50" customFormat="false" ht="15" hidden="false" customHeight="false" outlineLevel="0" collapsed="false">
      <c r="A50" s="2" t="s">
        <v>62</v>
      </c>
      <c r="B50" s="2" t="s">
        <v>6</v>
      </c>
      <c r="C50" s="2" t="s">
        <v>7</v>
      </c>
      <c r="D50" s="2" t="s">
        <v>8</v>
      </c>
      <c r="E50" s="2" t="s">
        <v>55</v>
      </c>
    </row>
    <row r="51" customFormat="false" ht="15" hidden="false" customHeight="false" outlineLevel="0" collapsed="false">
      <c r="A51" s="2" t="s">
        <v>63</v>
      </c>
      <c r="B51" s="2" t="s">
        <v>6</v>
      </c>
      <c r="C51" s="2" t="s">
        <v>7</v>
      </c>
      <c r="D51" s="2" t="s">
        <v>8</v>
      </c>
      <c r="E51" s="2" t="s">
        <v>55</v>
      </c>
    </row>
    <row r="52" customFormat="false" ht="15" hidden="false" customHeight="false" outlineLevel="0" collapsed="false">
      <c r="A52" s="2" t="s">
        <v>64</v>
      </c>
      <c r="B52" s="2" t="s">
        <v>6</v>
      </c>
      <c r="C52" s="2" t="s">
        <v>7</v>
      </c>
      <c r="D52" s="2" t="s">
        <v>8</v>
      </c>
      <c r="E52" s="2" t="s">
        <v>55</v>
      </c>
    </row>
    <row r="53" customFormat="false" ht="15" hidden="false" customHeight="false" outlineLevel="0" collapsed="false">
      <c r="A53" s="2" t="s">
        <v>65</v>
      </c>
      <c r="B53" s="2" t="s">
        <v>6</v>
      </c>
      <c r="C53" s="2" t="s">
        <v>7</v>
      </c>
      <c r="D53" s="2" t="s">
        <v>8</v>
      </c>
      <c r="E53" s="2" t="s">
        <v>55</v>
      </c>
    </row>
    <row r="54" customFormat="false" ht="15" hidden="false" customHeight="false" outlineLevel="0" collapsed="false">
      <c r="A54" s="2" t="s">
        <v>66</v>
      </c>
      <c r="B54" s="2" t="s">
        <v>6</v>
      </c>
      <c r="C54" s="2" t="s">
        <v>7</v>
      </c>
      <c r="D54" s="2" t="s">
        <v>8</v>
      </c>
      <c r="E54" s="2" t="s">
        <v>55</v>
      </c>
    </row>
    <row r="55" customFormat="false" ht="15" hidden="false" customHeight="false" outlineLevel="0" collapsed="false">
      <c r="A55" s="2" t="s">
        <v>67</v>
      </c>
      <c r="B55" s="2" t="s">
        <v>6</v>
      </c>
      <c r="C55" s="2" t="s">
        <v>7</v>
      </c>
      <c r="D55" s="2" t="s">
        <v>8</v>
      </c>
      <c r="E55" s="2" t="s">
        <v>55</v>
      </c>
    </row>
    <row r="56" customFormat="false" ht="15" hidden="false" customHeight="false" outlineLevel="0" collapsed="false">
      <c r="A56" s="3" t="s">
        <v>68</v>
      </c>
      <c r="B56" s="3" t="s">
        <v>19</v>
      </c>
      <c r="C56" s="3" t="s">
        <v>7</v>
      </c>
      <c r="D56" s="3" t="s">
        <v>8</v>
      </c>
      <c r="E56" s="3" t="s">
        <v>55</v>
      </c>
    </row>
    <row r="57" customFormat="false" ht="15" hidden="false" customHeight="false" outlineLevel="0" collapsed="false">
      <c r="A57" s="2" t="s">
        <v>69</v>
      </c>
      <c r="B57" s="2" t="s">
        <v>6</v>
      </c>
      <c r="C57" s="2" t="s">
        <v>7</v>
      </c>
      <c r="D57" s="2" t="s">
        <v>8</v>
      </c>
      <c r="E57" s="2" t="s">
        <v>55</v>
      </c>
    </row>
    <row r="58" customFormat="false" ht="15" hidden="false" customHeight="false" outlineLevel="0" collapsed="false">
      <c r="A58" s="2" t="s">
        <v>70</v>
      </c>
      <c r="B58" s="2" t="s">
        <v>6</v>
      </c>
      <c r="C58" s="2" t="s">
        <v>7</v>
      </c>
      <c r="D58" s="2" t="s">
        <v>8</v>
      </c>
      <c r="E58" s="2" t="s">
        <v>55</v>
      </c>
    </row>
    <row r="59" customFormat="false" ht="15" hidden="false" customHeight="false" outlineLevel="0" collapsed="false">
      <c r="A59" s="2" t="s">
        <v>71</v>
      </c>
      <c r="B59" s="2" t="s">
        <v>6</v>
      </c>
      <c r="C59" s="2" t="s">
        <v>7</v>
      </c>
      <c r="D59" s="2" t="s">
        <v>8</v>
      </c>
      <c r="E59" s="2" t="s">
        <v>55</v>
      </c>
    </row>
    <row r="60" customFormat="false" ht="15" hidden="false" customHeight="false" outlineLevel="0" collapsed="false">
      <c r="A60" s="2" t="s">
        <v>72</v>
      </c>
      <c r="B60" s="2" t="s">
        <v>6</v>
      </c>
      <c r="C60" s="2" t="s">
        <v>73</v>
      </c>
      <c r="D60" s="2" t="s">
        <v>74</v>
      </c>
      <c r="E60" s="2" t="s">
        <v>75</v>
      </c>
    </row>
    <row r="61" customFormat="false" ht="15" hidden="false" customHeight="false" outlineLevel="0" collapsed="false">
      <c r="A61" s="2" t="s">
        <v>76</v>
      </c>
      <c r="B61" s="2" t="s">
        <v>6</v>
      </c>
      <c r="C61" s="2" t="s">
        <v>73</v>
      </c>
      <c r="D61" s="2" t="s">
        <v>74</v>
      </c>
      <c r="E61" s="2" t="s">
        <v>75</v>
      </c>
    </row>
    <row r="62" customFormat="false" ht="15" hidden="false" customHeight="false" outlineLevel="0" collapsed="false">
      <c r="A62" s="2" t="s">
        <v>77</v>
      </c>
      <c r="B62" s="2" t="s">
        <v>6</v>
      </c>
      <c r="C62" s="2" t="s">
        <v>73</v>
      </c>
      <c r="D62" s="2" t="s">
        <v>74</v>
      </c>
      <c r="E62" s="2" t="s">
        <v>75</v>
      </c>
    </row>
    <row r="63" customFormat="false" ht="15" hidden="false" customHeight="false" outlineLevel="0" collapsed="false">
      <c r="A63" s="2" t="s">
        <v>78</v>
      </c>
      <c r="B63" s="2" t="s">
        <v>6</v>
      </c>
      <c r="C63" s="2" t="s">
        <v>73</v>
      </c>
      <c r="D63" s="2" t="s">
        <v>74</v>
      </c>
      <c r="E63" s="2" t="s">
        <v>75</v>
      </c>
    </row>
    <row r="64" customFormat="false" ht="15" hidden="false" customHeight="false" outlineLevel="0" collapsed="false">
      <c r="A64" s="2" t="s">
        <v>79</v>
      </c>
      <c r="B64" s="2" t="s">
        <v>6</v>
      </c>
      <c r="C64" s="2" t="s">
        <v>73</v>
      </c>
      <c r="D64" s="2" t="s">
        <v>74</v>
      </c>
      <c r="E64" s="2" t="s">
        <v>75</v>
      </c>
    </row>
    <row r="65" customFormat="false" ht="15" hidden="false" customHeight="false" outlineLevel="0" collapsed="false">
      <c r="A65" s="2" t="s">
        <v>80</v>
      </c>
      <c r="B65" s="2" t="s">
        <v>6</v>
      </c>
      <c r="C65" s="2" t="s">
        <v>73</v>
      </c>
      <c r="D65" s="2" t="s">
        <v>81</v>
      </c>
      <c r="E65" s="2" t="s">
        <v>82</v>
      </c>
    </row>
    <row r="66" customFormat="false" ht="15" hidden="false" customHeight="false" outlineLevel="0" collapsed="false">
      <c r="A66" s="3" t="s">
        <v>83</v>
      </c>
      <c r="B66" s="3" t="s">
        <v>19</v>
      </c>
      <c r="C66" s="3" t="s">
        <v>73</v>
      </c>
      <c r="D66" s="3" t="s">
        <v>81</v>
      </c>
      <c r="E66" s="3" t="s">
        <v>82</v>
      </c>
    </row>
    <row r="67" customFormat="false" ht="15" hidden="false" customHeight="false" outlineLevel="0" collapsed="false">
      <c r="A67" s="3" t="s">
        <v>84</v>
      </c>
      <c r="B67" s="3" t="s">
        <v>19</v>
      </c>
      <c r="C67" s="3" t="s">
        <v>73</v>
      </c>
      <c r="D67" s="3" t="s">
        <v>81</v>
      </c>
      <c r="E67" s="3" t="s">
        <v>82</v>
      </c>
    </row>
    <row r="68" customFormat="false" ht="15" hidden="false" customHeight="false" outlineLevel="0" collapsed="false">
      <c r="A68" s="3" t="s">
        <v>85</v>
      </c>
      <c r="B68" s="3" t="s">
        <v>19</v>
      </c>
      <c r="C68" s="3" t="s">
        <v>73</v>
      </c>
      <c r="D68" s="3" t="s">
        <v>81</v>
      </c>
      <c r="E68" s="3" t="s">
        <v>82</v>
      </c>
    </row>
    <row r="69" customFormat="false" ht="15" hidden="false" customHeight="false" outlineLevel="0" collapsed="false">
      <c r="A69" s="2" t="s">
        <v>86</v>
      </c>
      <c r="B69" s="2" t="s">
        <v>6</v>
      </c>
      <c r="C69" s="2" t="s">
        <v>73</v>
      </c>
      <c r="D69" s="2" t="s">
        <v>81</v>
      </c>
      <c r="E69" s="2" t="s">
        <v>82</v>
      </c>
    </row>
    <row r="70" customFormat="false" ht="15" hidden="false" customHeight="false" outlineLevel="0" collapsed="false">
      <c r="A70" s="2" t="s">
        <v>87</v>
      </c>
      <c r="B70" s="2" t="s">
        <v>6</v>
      </c>
      <c r="C70" s="2" t="s">
        <v>73</v>
      </c>
      <c r="D70" s="2" t="s">
        <v>81</v>
      </c>
      <c r="E70" s="2" t="s">
        <v>82</v>
      </c>
    </row>
    <row r="71" customFormat="false" ht="15" hidden="false" customHeight="false" outlineLevel="0" collapsed="false">
      <c r="A71" s="2" t="s">
        <v>88</v>
      </c>
      <c r="B71" s="2" t="s">
        <v>6</v>
      </c>
      <c r="C71" s="2" t="s">
        <v>73</v>
      </c>
      <c r="D71" s="2" t="s">
        <v>81</v>
      </c>
      <c r="E71" s="2" t="s">
        <v>82</v>
      </c>
    </row>
    <row r="72" customFormat="false" ht="15" hidden="false" customHeight="false" outlineLevel="0" collapsed="false">
      <c r="A72" s="2" t="s">
        <v>89</v>
      </c>
      <c r="B72" s="2" t="s">
        <v>6</v>
      </c>
      <c r="C72" s="2" t="s">
        <v>73</v>
      </c>
      <c r="D72" s="2" t="s">
        <v>81</v>
      </c>
      <c r="E72" s="2" t="s">
        <v>82</v>
      </c>
    </row>
    <row r="73" customFormat="false" ht="15" hidden="false" customHeight="false" outlineLevel="0" collapsed="false">
      <c r="A73" s="2" t="s">
        <v>90</v>
      </c>
      <c r="B73" s="2" t="s">
        <v>6</v>
      </c>
      <c r="C73" s="2" t="s">
        <v>73</v>
      </c>
      <c r="D73" s="2" t="s">
        <v>74</v>
      </c>
      <c r="E73" s="2" t="s">
        <v>91</v>
      </c>
    </row>
    <row r="74" customFormat="false" ht="15" hidden="false" customHeight="false" outlineLevel="0" collapsed="false">
      <c r="A74" s="2" t="s">
        <v>92</v>
      </c>
      <c r="B74" s="2" t="s">
        <v>6</v>
      </c>
      <c r="C74" s="2" t="s">
        <v>73</v>
      </c>
      <c r="D74" s="2" t="s">
        <v>74</v>
      </c>
      <c r="E74" s="2" t="s">
        <v>91</v>
      </c>
    </row>
    <row r="75" customFormat="false" ht="15" hidden="false" customHeight="false" outlineLevel="0" collapsed="false">
      <c r="A75" s="2" t="s">
        <v>93</v>
      </c>
      <c r="B75" s="2" t="s">
        <v>6</v>
      </c>
      <c r="C75" s="2" t="s">
        <v>73</v>
      </c>
      <c r="D75" s="2" t="s">
        <v>74</v>
      </c>
      <c r="E75" s="2" t="s">
        <v>91</v>
      </c>
    </row>
    <row r="76" customFormat="false" ht="15" hidden="false" customHeight="false" outlineLevel="0" collapsed="false">
      <c r="A76" s="2" t="s">
        <v>94</v>
      </c>
      <c r="B76" s="2" t="s">
        <v>6</v>
      </c>
      <c r="C76" s="2" t="s">
        <v>73</v>
      </c>
      <c r="D76" s="2" t="s">
        <v>74</v>
      </c>
      <c r="E76" s="2" t="s">
        <v>91</v>
      </c>
    </row>
    <row r="77" customFormat="false" ht="15" hidden="false" customHeight="false" outlineLevel="0" collapsed="false">
      <c r="A77" s="2" t="s">
        <v>95</v>
      </c>
      <c r="B77" s="2" t="s">
        <v>6</v>
      </c>
      <c r="C77" s="2" t="s">
        <v>73</v>
      </c>
      <c r="D77" s="2" t="s">
        <v>74</v>
      </c>
      <c r="E77" s="2" t="s">
        <v>91</v>
      </c>
    </row>
    <row r="78" customFormat="false" ht="15" hidden="false" customHeight="false" outlineLevel="0" collapsed="false">
      <c r="A78" s="2" t="s">
        <v>96</v>
      </c>
      <c r="B78" s="2" t="s">
        <v>6</v>
      </c>
      <c r="C78" s="2" t="s">
        <v>73</v>
      </c>
      <c r="D78" s="2" t="s">
        <v>74</v>
      </c>
      <c r="E78" s="2" t="s">
        <v>91</v>
      </c>
    </row>
    <row r="79" customFormat="false" ht="15" hidden="false" customHeight="false" outlineLevel="0" collapsed="false">
      <c r="A79" s="2" t="s">
        <v>97</v>
      </c>
      <c r="B79" s="2" t="s">
        <v>6</v>
      </c>
      <c r="C79" s="2" t="s">
        <v>73</v>
      </c>
      <c r="D79" s="2" t="s">
        <v>74</v>
      </c>
      <c r="E79" s="2" t="s">
        <v>91</v>
      </c>
    </row>
    <row r="80" customFormat="false" ht="15" hidden="false" customHeight="false" outlineLevel="0" collapsed="false">
      <c r="A80" s="2" t="s">
        <v>98</v>
      </c>
      <c r="B80" s="2" t="s">
        <v>6</v>
      </c>
      <c r="C80" s="2" t="s">
        <v>73</v>
      </c>
      <c r="D80" s="2" t="s">
        <v>74</v>
      </c>
      <c r="E80" s="2" t="s">
        <v>91</v>
      </c>
    </row>
    <row r="81" customFormat="false" ht="15" hidden="false" customHeight="false" outlineLevel="0" collapsed="false">
      <c r="A81" s="2" t="s">
        <v>99</v>
      </c>
      <c r="B81" s="2" t="s">
        <v>6</v>
      </c>
      <c r="C81" s="2" t="s">
        <v>73</v>
      </c>
      <c r="D81" s="2" t="s">
        <v>74</v>
      </c>
      <c r="E81" s="2" t="s">
        <v>91</v>
      </c>
    </row>
    <row r="82" customFormat="false" ht="15" hidden="false" customHeight="false" outlineLevel="0" collapsed="false">
      <c r="A82" s="2" t="s">
        <v>100</v>
      </c>
      <c r="B82" s="2" t="s">
        <v>6</v>
      </c>
      <c r="C82" s="2" t="s">
        <v>73</v>
      </c>
      <c r="D82" s="2" t="s">
        <v>81</v>
      </c>
      <c r="E82" s="2" t="s">
        <v>101</v>
      </c>
    </row>
    <row r="83" customFormat="false" ht="15" hidden="false" customHeight="false" outlineLevel="0" collapsed="false">
      <c r="A83" s="2" t="s">
        <v>102</v>
      </c>
      <c r="B83" s="2" t="s">
        <v>6</v>
      </c>
      <c r="C83" s="2" t="s">
        <v>73</v>
      </c>
      <c r="D83" s="2" t="s">
        <v>81</v>
      </c>
      <c r="E83" s="2" t="s">
        <v>101</v>
      </c>
    </row>
    <row r="84" customFormat="false" ht="15" hidden="false" customHeight="false" outlineLevel="0" collapsed="false">
      <c r="A84" s="2" t="s">
        <v>103</v>
      </c>
      <c r="B84" s="2" t="s">
        <v>6</v>
      </c>
      <c r="C84" s="2" t="s">
        <v>73</v>
      </c>
      <c r="D84" s="2" t="s">
        <v>81</v>
      </c>
      <c r="E84" s="2" t="s">
        <v>101</v>
      </c>
    </row>
    <row r="85" customFormat="false" ht="15" hidden="false" customHeight="false" outlineLevel="0" collapsed="false">
      <c r="A85" s="2" t="s">
        <v>104</v>
      </c>
      <c r="B85" s="2" t="s">
        <v>6</v>
      </c>
      <c r="C85" s="2" t="s">
        <v>73</v>
      </c>
      <c r="D85" s="2" t="s">
        <v>81</v>
      </c>
      <c r="E85" s="2" t="s">
        <v>101</v>
      </c>
    </row>
    <row r="86" customFormat="false" ht="15" hidden="false" customHeight="false" outlineLevel="0" collapsed="false">
      <c r="A86" s="2" t="s">
        <v>105</v>
      </c>
      <c r="B86" s="2" t="s">
        <v>6</v>
      </c>
      <c r="C86" s="2" t="s">
        <v>73</v>
      </c>
      <c r="D86" s="2" t="s">
        <v>81</v>
      </c>
      <c r="E86" s="2" t="s">
        <v>101</v>
      </c>
    </row>
    <row r="87" customFormat="false" ht="15" hidden="false" customHeight="false" outlineLevel="0" collapsed="false">
      <c r="A87" s="2" t="s">
        <v>106</v>
      </c>
      <c r="B87" s="2" t="s">
        <v>6</v>
      </c>
      <c r="C87" s="2" t="s">
        <v>73</v>
      </c>
      <c r="D87" s="2" t="s">
        <v>81</v>
      </c>
      <c r="E87" s="2" t="s">
        <v>101</v>
      </c>
    </row>
    <row r="88" customFormat="false" ht="15" hidden="false" customHeight="false" outlineLevel="0" collapsed="false">
      <c r="A88" s="2" t="s">
        <v>107</v>
      </c>
      <c r="B88" s="2" t="s">
        <v>6</v>
      </c>
      <c r="C88" s="2" t="s">
        <v>73</v>
      </c>
      <c r="D88" s="2" t="s">
        <v>81</v>
      </c>
      <c r="E88" s="2" t="s">
        <v>101</v>
      </c>
    </row>
    <row r="89" customFormat="false" ht="15" hidden="false" customHeight="false" outlineLevel="0" collapsed="false">
      <c r="A89" s="2" t="s">
        <v>108</v>
      </c>
      <c r="B89" s="2" t="s">
        <v>6</v>
      </c>
      <c r="C89" s="2" t="s">
        <v>73</v>
      </c>
      <c r="D89" s="2" t="s">
        <v>81</v>
      </c>
      <c r="E89" s="2" t="s">
        <v>101</v>
      </c>
    </row>
    <row r="90" customFormat="false" ht="15" hidden="false" customHeight="false" outlineLevel="0" collapsed="false">
      <c r="A90" s="2" t="s">
        <v>109</v>
      </c>
      <c r="B90" s="2" t="s">
        <v>6</v>
      </c>
      <c r="C90" s="2" t="s">
        <v>73</v>
      </c>
      <c r="D90" s="2" t="s">
        <v>81</v>
      </c>
      <c r="E90" s="2" t="s">
        <v>101</v>
      </c>
    </row>
    <row r="91" customFormat="false" ht="15" hidden="false" customHeight="false" outlineLevel="0" collapsed="false">
      <c r="A91" s="2" t="s">
        <v>110</v>
      </c>
      <c r="B91" s="2" t="s">
        <v>6</v>
      </c>
      <c r="C91" s="2" t="s">
        <v>73</v>
      </c>
      <c r="D91" s="2" t="s">
        <v>81</v>
      </c>
      <c r="E91" s="2" t="s">
        <v>101</v>
      </c>
    </row>
    <row r="92" customFormat="false" ht="15" hidden="false" customHeight="false" outlineLevel="0" collapsed="false">
      <c r="A92" s="2" t="s">
        <v>111</v>
      </c>
      <c r="B92" s="2" t="s">
        <v>6</v>
      </c>
      <c r="C92" s="2" t="s">
        <v>73</v>
      </c>
      <c r="D92" s="2" t="s">
        <v>81</v>
      </c>
      <c r="E92" s="2" t="s">
        <v>101</v>
      </c>
    </row>
    <row r="93" customFormat="false" ht="15" hidden="false" customHeight="false" outlineLevel="0" collapsed="false">
      <c r="A93" s="2" t="s">
        <v>112</v>
      </c>
      <c r="B93" s="2" t="s">
        <v>6</v>
      </c>
      <c r="C93" s="2" t="s">
        <v>73</v>
      </c>
      <c r="D93" s="2" t="s">
        <v>113</v>
      </c>
      <c r="E93" s="2" t="s">
        <v>114</v>
      </c>
    </row>
    <row r="94" customFormat="false" ht="15" hidden="false" customHeight="false" outlineLevel="0" collapsed="false">
      <c r="A94" s="2" t="s">
        <v>115</v>
      </c>
      <c r="B94" s="2" t="s">
        <v>6</v>
      </c>
      <c r="C94" s="2" t="s">
        <v>73</v>
      </c>
      <c r="D94" s="2" t="s">
        <v>113</v>
      </c>
      <c r="E94" s="2" t="s">
        <v>114</v>
      </c>
    </row>
    <row r="95" customFormat="false" ht="15" hidden="false" customHeight="false" outlineLevel="0" collapsed="false">
      <c r="A95" s="2" t="s">
        <v>116</v>
      </c>
      <c r="B95" s="2" t="s">
        <v>6</v>
      </c>
      <c r="C95" s="2" t="s">
        <v>73</v>
      </c>
      <c r="D95" s="2" t="s">
        <v>113</v>
      </c>
      <c r="E95" s="2" t="s">
        <v>114</v>
      </c>
    </row>
    <row r="96" customFormat="false" ht="15" hidden="false" customHeight="false" outlineLevel="0" collapsed="false">
      <c r="A96" s="2" t="s">
        <v>117</v>
      </c>
      <c r="B96" s="2" t="s">
        <v>6</v>
      </c>
      <c r="C96" s="2" t="s">
        <v>73</v>
      </c>
      <c r="D96" s="2" t="s">
        <v>113</v>
      </c>
      <c r="E96" s="2" t="s">
        <v>114</v>
      </c>
    </row>
    <row r="97" customFormat="false" ht="15" hidden="false" customHeight="false" outlineLevel="0" collapsed="false">
      <c r="A97" s="2" t="s">
        <v>118</v>
      </c>
      <c r="B97" s="2" t="s">
        <v>6</v>
      </c>
      <c r="C97" s="2" t="s">
        <v>73</v>
      </c>
      <c r="D97" s="2" t="s">
        <v>113</v>
      </c>
      <c r="E97" s="2" t="s">
        <v>114</v>
      </c>
    </row>
    <row r="98" customFormat="false" ht="15" hidden="false" customHeight="false" outlineLevel="0" collapsed="false">
      <c r="A98" s="2" t="s">
        <v>119</v>
      </c>
      <c r="B98" s="2" t="s">
        <v>6</v>
      </c>
      <c r="C98" s="2" t="s">
        <v>73</v>
      </c>
      <c r="D98" s="2" t="s">
        <v>113</v>
      </c>
      <c r="E98" s="2" t="s">
        <v>114</v>
      </c>
    </row>
    <row r="99" customFormat="false" ht="15" hidden="false" customHeight="false" outlineLevel="0" collapsed="false">
      <c r="A99" s="2" t="s">
        <v>120</v>
      </c>
      <c r="B99" s="2" t="s">
        <v>6</v>
      </c>
      <c r="C99" s="2" t="s">
        <v>73</v>
      </c>
      <c r="D99" s="2" t="s">
        <v>113</v>
      </c>
      <c r="E99" s="2" t="s">
        <v>114</v>
      </c>
    </row>
    <row r="100" customFormat="false" ht="15" hidden="false" customHeight="false" outlineLevel="0" collapsed="false">
      <c r="A100" s="2" t="s">
        <v>121</v>
      </c>
      <c r="B100" s="2" t="s">
        <v>6</v>
      </c>
      <c r="C100" s="2" t="s">
        <v>73</v>
      </c>
      <c r="D100" s="2" t="s">
        <v>113</v>
      </c>
      <c r="E100" s="2" t="s">
        <v>114</v>
      </c>
    </row>
    <row r="101" customFormat="false" ht="15" hidden="false" customHeight="false" outlineLevel="0" collapsed="false">
      <c r="A101" s="2" t="s">
        <v>122</v>
      </c>
      <c r="B101" s="2" t="s">
        <v>6</v>
      </c>
      <c r="C101" s="2" t="s">
        <v>73</v>
      </c>
      <c r="D101" s="2" t="s">
        <v>113</v>
      </c>
      <c r="E101" s="2" t="s">
        <v>114</v>
      </c>
    </row>
    <row r="102" customFormat="false" ht="15" hidden="false" customHeight="false" outlineLevel="0" collapsed="false">
      <c r="A102" s="2" t="s">
        <v>123</v>
      </c>
      <c r="B102" s="2" t="s">
        <v>6</v>
      </c>
      <c r="C102" s="2" t="s">
        <v>73</v>
      </c>
      <c r="D102" s="2" t="s">
        <v>113</v>
      </c>
      <c r="E102" s="2" t="s">
        <v>114</v>
      </c>
    </row>
    <row r="103" customFormat="false" ht="15" hidden="false" customHeight="false" outlineLevel="0" collapsed="false">
      <c r="A103" s="2" t="s">
        <v>124</v>
      </c>
      <c r="B103" s="2" t="s">
        <v>6</v>
      </c>
      <c r="C103" s="2" t="s">
        <v>73</v>
      </c>
      <c r="D103" s="2" t="s">
        <v>113</v>
      </c>
      <c r="E103" s="2" t="s">
        <v>114</v>
      </c>
    </row>
    <row r="104" customFormat="false" ht="15" hidden="false" customHeight="false" outlineLevel="0" collapsed="false">
      <c r="A104" s="2" t="s">
        <v>125</v>
      </c>
      <c r="B104" s="2" t="s">
        <v>6</v>
      </c>
      <c r="C104" s="2" t="s">
        <v>73</v>
      </c>
      <c r="D104" s="2" t="s">
        <v>113</v>
      </c>
      <c r="E104" s="2" t="s">
        <v>114</v>
      </c>
    </row>
    <row r="105" customFormat="false" ht="15" hidden="false" customHeight="false" outlineLevel="0" collapsed="false">
      <c r="A105" s="2" t="s">
        <v>126</v>
      </c>
      <c r="B105" s="2" t="s">
        <v>6</v>
      </c>
      <c r="C105" s="2" t="s">
        <v>73</v>
      </c>
      <c r="D105" s="2" t="s">
        <v>113</v>
      </c>
      <c r="E105" s="2" t="s">
        <v>114</v>
      </c>
    </row>
    <row r="106" customFormat="false" ht="15" hidden="false" customHeight="false" outlineLevel="0" collapsed="false">
      <c r="A106" s="3" t="s">
        <v>127</v>
      </c>
      <c r="B106" s="3" t="s">
        <v>19</v>
      </c>
      <c r="C106" s="3" t="s">
        <v>73</v>
      </c>
      <c r="D106" s="3" t="s">
        <v>113</v>
      </c>
      <c r="E106" s="3" t="s">
        <v>114</v>
      </c>
    </row>
    <row r="107" customFormat="false" ht="15" hidden="false" customHeight="false" outlineLevel="0" collapsed="false">
      <c r="A107" s="2" t="s">
        <v>128</v>
      </c>
      <c r="B107" s="2" t="s">
        <v>6</v>
      </c>
      <c r="C107" s="2" t="s">
        <v>73</v>
      </c>
      <c r="D107" s="2" t="s">
        <v>113</v>
      </c>
      <c r="E107" s="2" t="s">
        <v>114</v>
      </c>
    </row>
    <row r="108" customFormat="false" ht="15" hidden="false" customHeight="false" outlineLevel="0" collapsed="false">
      <c r="A108" s="2" t="s">
        <v>129</v>
      </c>
      <c r="B108" s="2" t="s">
        <v>6</v>
      </c>
      <c r="C108" s="2" t="s">
        <v>73</v>
      </c>
      <c r="D108" s="2" t="s">
        <v>113</v>
      </c>
      <c r="E108" s="2" t="s">
        <v>114</v>
      </c>
    </row>
    <row r="109" customFormat="false" ht="15" hidden="false" customHeight="false" outlineLevel="0" collapsed="false">
      <c r="A109" s="2" t="s">
        <v>130</v>
      </c>
      <c r="B109" s="2" t="s">
        <v>6</v>
      </c>
      <c r="C109" s="2" t="s">
        <v>73</v>
      </c>
      <c r="D109" s="2" t="s">
        <v>113</v>
      </c>
      <c r="E109" s="2" t="s">
        <v>114</v>
      </c>
    </row>
    <row r="110" customFormat="false" ht="15" hidden="false" customHeight="false" outlineLevel="0" collapsed="false">
      <c r="A110" s="2" t="s">
        <v>131</v>
      </c>
      <c r="B110" s="2" t="s">
        <v>6</v>
      </c>
      <c r="C110" s="2" t="s">
        <v>73</v>
      </c>
      <c r="D110" s="2" t="s">
        <v>113</v>
      </c>
      <c r="E110" s="2" t="s">
        <v>114</v>
      </c>
    </row>
    <row r="111" customFormat="false" ht="15" hidden="false" customHeight="false" outlineLevel="0" collapsed="false">
      <c r="A111" s="2" t="s">
        <v>132</v>
      </c>
      <c r="B111" s="2" t="s">
        <v>6</v>
      </c>
      <c r="C111" s="2" t="s">
        <v>133</v>
      </c>
      <c r="D111" s="2" t="s">
        <v>134</v>
      </c>
      <c r="E111" s="2" t="s">
        <v>135</v>
      </c>
    </row>
    <row r="112" customFormat="false" ht="15" hidden="false" customHeight="false" outlineLevel="0" collapsed="false">
      <c r="A112" s="2" t="s">
        <v>136</v>
      </c>
      <c r="B112" s="2" t="s">
        <v>6</v>
      </c>
      <c r="C112" s="2" t="s">
        <v>133</v>
      </c>
      <c r="D112" s="2" t="s">
        <v>134</v>
      </c>
      <c r="E112" s="2" t="s">
        <v>135</v>
      </c>
    </row>
    <row r="113" customFormat="false" ht="15" hidden="false" customHeight="false" outlineLevel="0" collapsed="false">
      <c r="A113" s="2" t="s">
        <v>137</v>
      </c>
      <c r="B113" s="2" t="s">
        <v>6</v>
      </c>
      <c r="C113" s="2" t="s">
        <v>133</v>
      </c>
      <c r="D113" s="2" t="s">
        <v>134</v>
      </c>
      <c r="E113" s="2" t="s">
        <v>135</v>
      </c>
    </row>
    <row r="114" customFormat="false" ht="15" hidden="false" customHeight="false" outlineLevel="0" collapsed="false">
      <c r="A114" s="2" t="s">
        <v>138</v>
      </c>
      <c r="B114" s="2" t="s">
        <v>6</v>
      </c>
      <c r="C114" s="2" t="s">
        <v>133</v>
      </c>
      <c r="D114" s="2" t="s">
        <v>134</v>
      </c>
      <c r="E114" s="2" t="s">
        <v>135</v>
      </c>
    </row>
    <row r="115" customFormat="false" ht="15" hidden="false" customHeight="false" outlineLevel="0" collapsed="false">
      <c r="A115" s="2" t="s">
        <v>139</v>
      </c>
      <c r="B115" s="2" t="s">
        <v>6</v>
      </c>
      <c r="C115" s="2" t="s">
        <v>133</v>
      </c>
      <c r="D115" s="2" t="s">
        <v>134</v>
      </c>
      <c r="E115" s="2" t="s">
        <v>135</v>
      </c>
    </row>
    <row r="116" customFormat="false" ht="15" hidden="false" customHeight="false" outlineLevel="0" collapsed="false">
      <c r="A116" s="2" t="s">
        <v>140</v>
      </c>
      <c r="B116" s="2" t="s">
        <v>6</v>
      </c>
      <c r="C116" s="2" t="s">
        <v>133</v>
      </c>
      <c r="D116" s="2" t="s">
        <v>134</v>
      </c>
      <c r="E116" s="2" t="s">
        <v>135</v>
      </c>
    </row>
    <row r="117" customFormat="false" ht="15" hidden="false" customHeight="false" outlineLevel="0" collapsed="false">
      <c r="A117" s="2" t="s">
        <v>141</v>
      </c>
      <c r="B117" s="2" t="s">
        <v>6</v>
      </c>
      <c r="C117" s="2" t="s">
        <v>133</v>
      </c>
      <c r="D117" s="2" t="s">
        <v>134</v>
      </c>
      <c r="E117" s="2" t="s">
        <v>135</v>
      </c>
    </row>
    <row r="118" customFormat="false" ht="15" hidden="false" customHeight="false" outlineLevel="0" collapsed="false">
      <c r="A118" s="2" t="s">
        <v>142</v>
      </c>
      <c r="B118" s="2" t="s">
        <v>6</v>
      </c>
      <c r="C118" s="2" t="s">
        <v>133</v>
      </c>
      <c r="D118" s="2" t="s">
        <v>134</v>
      </c>
      <c r="E118" s="2" t="s">
        <v>135</v>
      </c>
    </row>
    <row r="119" customFormat="false" ht="15" hidden="false" customHeight="false" outlineLevel="0" collapsed="false">
      <c r="A119" s="2" t="s">
        <v>143</v>
      </c>
      <c r="B119" s="2" t="s">
        <v>6</v>
      </c>
      <c r="C119" s="2" t="s">
        <v>133</v>
      </c>
      <c r="D119" s="2" t="s">
        <v>134</v>
      </c>
      <c r="E119" s="2" t="s">
        <v>135</v>
      </c>
    </row>
    <row r="120" customFormat="false" ht="15" hidden="false" customHeight="false" outlineLevel="0" collapsed="false">
      <c r="A120" s="2" t="s">
        <v>144</v>
      </c>
      <c r="B120" s="2" t="s">
        <v>6</v>
      </c>
      <c r="C120" s="2" t="s">
        <v>133</v>
      </c>
      <c r="D120" s="2" t="s">
        <v>134</v>
      </c>
      <c r="E120" s="2" t="s">
        <v>135</v>
      </c>
    </row>
    <row r="121" customFormat="false" ht="15" hidden="false" customHeight="false" outlineLevel="0" collapsed="false">
      <c r="A121" s="2" t="s">
        <v>145</v>
      </c>
      <c r="B121" s="2" t="s">
        <v>6</v>
      </c>
      <c r="C121" s="2" t="s">
        <v>133</v>
      </c>
      <c r="D121" s="2" t="s">
        <v>134</v>
      </c>
      <c r="E121" s="2" t="s">
        <v>146</v>
      </c>
    </row>
    <row r="122" customFormat="false" ht="15" hidden="false" customHeight="false" outlineLevel="0" collapsed="false">
      <c r="A122" s="2" t="s">
        <v>147</v>
      </c>
      <c r="B122" s="2" t="s">
        <v>6</v>
      </c>
      <c r="C122" s="2" t="s">
        <v>133</v>
      </c>
      <c r="D122" s="2" t="s">
        <v>134</v>
      </c>
      <c r="E122" s="2" t="s">
        <v>146</v>
      </c>
    </row>
    <row r="123" customFormat="false" ht="15" hidden="false" customHeight="false" outlineLevel="0" collapsed="false">
      <c r="A123" s="3" t="s">
        <v>148</v>
      </c>
      <c r="B123" s="3" t="s">
        <v>19</v>
      </c>
      <c r="C123" s="3" t="s">
        <v>133</v>
      </c>
      <c r="D123" s="3" t="s">
        <v>134</v>
      </c>
      <c r="E123" s="3" t="s">
        <v>146</v>
      </c>
    </row>
    <row r="124" customFormat="false" ht="15" hidden="false" customHeight="false" outlineLevel="0" collapsed="false">
      <c r="A124" s="2" t="s">
        <v>149</v>
      </c>
      <c r="B124" s="2" t="s">
        <v>6</v>
      </c>
      <c r="C124" s="2" t="s">
        <v>133</v>
      </c>
      <c r="D124" s="2" t="s">
        <v>134</v>
      </c>
      <c r="E124" s="2" t="s">
        <v>146</v>
      </c>
    </row>
    <row r="125" customFormat="false" ht="15" hidden="false" customHeight="false" outlineLevel="0" collapsed="false">
      <c r="A125" s="3" t="s">
        <v>150</v>
      </c>
      <c r="B125" s="3" t="s">
        <v>19</v>
      </c>
      <c r="C125" s="3" t="s">
        <v>133</v>
      </c>
      <c r="D125" s="3" t="s">
        <v>134</v>
      </c>
      <c r="E125" s="3" t="s">
        <v>146</v>
      </c>
    </row>
    <row r="126" customFormat="false" ht="15" hidden="false" customHeight="false" outlineLevel="0" collapsed="false">
      <c r="A126" s="2" t="s">
        <v>151</v>
      </c>
      <c r="B126" s="2" t="s">
        <v>6</v>
      </c>
      <c r="C126" s="2" t="s">
        <v>133</v>
      </c>
      <c r="D126" s="2" t="s">
        <v>134</v>
      </c>
      <c r="E126" s="2" t="s">
        <v>146</v>
      </c>
    </row>
    <row r="127" customFormat="false" ht="15" hidden="false" customHeight="false" outlineLevel="0" collapsed="false">
      <c r="A127" s="2" t="s">
        <v>152</v>
      </c>
      <c r="B127" s="2" t="s">
        <v>6</v>
      </c>
      <c r="C127" s="2" t="s">
        <v>133</v>
      </c>
      <c r="D127" s="2" t="s">
        <v>134</v>
      </c>
      <c r="E127" s="2" t="s">
        <v>146</v>
      </c>
    </row>
    <row r="128" customFormat="false" ht="15" hidden="false" customHeight="false" outlineLevel="0" collapsed="false">
      <c r="A128" s="3" t="s">
        <v>153</v>
      </c>
      <c r="B128" s="3" t="s">
        <v>19</v>
      </c>
      <c r="C128" s="3" t="s">
        <v>133</v>
      </c>
      <c r="D128" s="3" t="s">
        <v>134</v>
      </c>
      <c r="E128" s="3" t="s">
        <v>146</v>
      </c>
    </row>
    <row r="129" customFormat="false" ht="15" hidden="false" customHeight="false" outlineLevel="0" collapsed="false">
      <c r="A129" s="3" t="s">
        <v>154</v>
      </c>
      <c r="B129" s="3" t="s">
        <v>19</v>
      </c>
      <c r="C129" s="3" t="s">
        <v>133</v>
      </c>
      <c r="D129" s="3" t="s">
        <v>134</v>
      </c>
      <c r="E129" s="3" t="s">
        <v>146</v>
      </c>
    </row>
    <row r="130" customFormat="false" ht="15" hidden="false" customHeight="false" outlineLevel="0" collapsed="false">
      <c r="A130" s="2" t="s">
        <v>155</v>
      </c>
      <c r="B130" s="2" t="s">
        <v>6</v>
      </c>
      <c r="C130" s="2" t="s">
        <v>133</v>
      </c>
      <c r="D130" s="2" t="s">
        <v>134</v>
      </c>
      <c r="E130" s="2" t="s">
        <v>146</v>
      </c>
    </row>
    <row r="131" customFormat="false" ht="15" hidden="false" customHeight="false" outlineLevel="0" collapsed="false">
      <c r="A131" s="2" t="s">
        <v>156</v>
      </c>
      <c r="B131" s="2" t="s">
        <v>6</v>
      </c>
      <c r="C131" s="2" t="s">
        <v>133</v>
      </c>
      <c r="D131" s="2" t="s">
        <v>134</v>
      </c>
      <c r="E131" s="2" t="s">
        <v>146</v>
      </c>
    </row>
    <row r="132" customFormat="false" ht="15" hidden="false" customHeight="false" outlineLevel="0" collapsed="false">
      <c r="A132" s="2" t="s">
        <v>157</v>
      </c>
      <c r="B132" s="2" t="s">
        <v>6</v>
      </c>
      <c r="C132" s="2" t="s">
        <v>133</v>
      </c>
      <c r="D132" s="2" t="s">
        <v>134</v>
      </c>
      <c r="E132" s="2" t="s">
        <v>146</v>
      </c>
    </row>
    <row r="133" customFormat="false" ht="15" hidden="false" customHeight="false" outlineLevel="0" collapsed="false">
      <c r="A133" s="2" t="s">
        <v>158</v>
      </c>
      <c r="B133" s="2" t="s">
        <v>6</v>
      </c>
      <c r="C133" s="2" t="s">
        <v>133</v>
      </c>
      <c r="D133" s="2" t="s">
        <v>134</v>
      </c>
      <c r="E133" s="2" t="s">
        <v>146</v>
      </c>
    </row>
    <row r="134" customFormat="false" ht="15" hidden="false" customHeight="false" outlineLevel="0" collapsed="false">
      <c r="A134" s="2" t="s">
        <v>159</v>
      </c>
      <c r="B134" s="2" t="s">
        <v>6</v>
      </c>
      <c r="C134" s="2" t="s">
        <v>133</v>
      </c>
      <c r="D134" s="2" t="s">
        <v>134</v>
      </c>
      <c r="E134" s="2" t="s">
        <v>146</v>
      </c>
    </row>
    <row r="135" customFormat="false" ht="15" hidden="false" customHeight="false" outlineLevel="0" collapsed="false">
      <c r="A135" s="2" t="s">
        <v>160</v>
      </c>
      <c r="B135" s="2" t="s">
        <v>6</v>
      </c>
      <c r="C135" s="2" t="s">
        <v>133</v>
      </c>
      <c r="D135" s="2" t="s">
        <v>134</v>
      </c>
      <c r="E135" s="2" t="s">
        <v>161</v>
      </c>
    </row>
    <row r="136" customFormat="false" ht="15" hidden="false" customHeight="false" outlineLevel="0" collapsed="false">
      <c r="A136" s="2" t="s">
        <v>162</v>
      </c>
      <c r="B136" s="2" t="s">
        <v>6</v>
      </c>
      <c r="C136" s="2" t="s">
        <v>133</v>
      </c>
      <c r="D136" s="2" t="s">
        <v>134</v>
      </c>
      <c r="E136" s="2" t="s">
        <v>161</v>
      </c>
    </row>
    <row r="137" customFormat="false" ht="15" hidden="false" customHeight="false" outlineLevel="0" collapsed="false">
      <c r="A137" s="2" t="s">
        <v>163</v>
      </c>
      <c r="B137" s="2" t="s">
        <v>6</v>
      </c>
      <c r="C137" s="2" t="s">
        <v>133</v>
      </c>
      <c r="D137" s="2" t="s">
        <v>134</v>
      </c>
      <c r="E137" s="2" t="s">
        <v>161</v>
      </c>
    </row>
    <row r="138" customFormat="false" ht="15" hidden="false" customHeight="false" outlineLevel="0" collapsed="false">
      <c r="A138" s="2" t="s">
        <v>164</v>
      </c>
      <c r="B138" s="2" t="s">
        <v>6</v>
      </c>
      <c r="C138" s="2" t="s">
        <v>133</v>
      </c>
      <c r="D138" s="2" t="s">
        <v>134</v>
      </c>
      <c r="E138" s="2" t="s">
        <v>161</v>
      </c>
    </row>
    <row r="139" customFormat="false" ht="15" hidden="false" customHeight="false" outlineLevel="0" collapsed="false">
      <c r="A139" s="3" t="s">
        <v>165</v>
      </c>
      <c r="B139" s="3" t="s">
        <v>19</v>
      </c>
      <c r="C139" s="3" t="s">
        <v>133</v>
      </c>
      <c r="D139" s="3" t="s">
        <v>134</v>
      </c>
      <c r="E139" s="3" t="s">
        <v>161</v>
      </c>
    </row>
    <row r="140" customFormat="false" ht="15" hidden="false" customHeight="false" outlineLevel="0" collapsed="false">
      <c r="A140" s="2" t="s">
        <v>166</v>
      </c>
      <c r="B140" s="2" t="s">
        <v>6</v>
      </c>
      <c r="C140" s="2" t="s">
        <v>133</v>
      </c>
      <c r="D140" s="2" t="s">
        <v>134</v>
      </c>
      <c r="E140" s="2" t="s">
        <v>161</v>
      </c>
    </row>
    <row r="141" customFormat="false" ht="15" hidden="false" customHeight="false" outlineLevel="0" collapsed="false">
      <c r="A141" s="2" t="s">
        <v>167</v>
      </c>
      <c r="B141" s="2" t="s">
        <v>6</v>
      </c>
      <c r="C141" s="2" t="s">
        <v>133</v>
      </c>
      <c r="D141" s="2" t="s">
        <v>134</v>
      </c>
      <c r="E141" s="2" t="s">
        <v>161</v>
      </c>
    </row>
    <row r="142" customFormat="false" ht="15" hidden="false" customHeight="false" outlineLevel="0" collapsed="false">
      <c r="A142" s="2" t="s">
        <v>168</v>
      </c>
      <c r="B142" s="2" t="s">
        <v>6</v>
      </c>
      <c r="C142" s="2" t="s">
        <v>133</v>
      </c>
      <c r="D142" s="2" t="s">
        <v>134</v>
      </c>
      <c r="E142" s="2" t="s">
        <v>161</v>
      </c>
    </row>
    <row r="143" customFormat="false" ht="15" hidden="false" customHeight="false" outlineLevel="0" collapsed="false">
      <c r="A143" s="3" t="s">
        <v>169</v>
      </c>
      <c r="B143" s="3" t="s">
        <v>19</v>
      </c>
      <c r="C143" s="3" t="s">
        <v>133</v>
      </c>
      <c r="D143" s="3" t="s">
        <v>134</v>
      </c>
      <c r="E143" s="3" t="s">
        <v>161</v>
      </c>
    </row>
    <row r="144" customFormat="false" ht="15" hidden="false" customHeight="false" outlineLevel="0" collapsed="false">
      <c r="A144" s="2" t="s">
        <v>170</v>
      </c>
      <c r="B144" s="2" t="s">
        <v>6</v>
      </c>
      <c r="C144" s="2" t="s">
        <v>133</v>
      </c>
      <c r="D144" s="2" t="s">
        <v>134</v>
      </c>
      <c r="E144" s="2" t="s">
        <v>161</v>
      </c>
    </row>
    <row r="145" customFormat="false" ht="15" hidden="false" customHeight="false" outlineLevel="0" collapsed="false">
      <c r="A145" s="2" t="s">
        <v>171</v>
      </c>
      <c r="B145" s="2" t="s">
        <v>6</v>
      </c>
      <c r="C145" s="2" t="s">
        <v>133</v>
      </c>
      <c r="D145" s="2" t="s">
        <v>134</v>
      </c>
      <c r="E145" s="2" t="s">
        <v>161</v>
      </c>
    </row>
    <row r="146" customFormat="false" ht="15" hidden="false" customHeight="false" outlineLevel="0" collapsed="false">
      <c r="A146" s="2" t="s">
        <v>172</v>
      </c>
      <c r="B146" s="2" t="s">
        <v>6</v>
      </c>
      <c r="C146" s="2" t="s">
        <v>133</v>
      </c>
      <c r="D146" s="2" t="s">
        <v>134</v>
      </c>
      <c r="E146" s="2" t="s">
        <v>161</v>
      </c>
    </row>
    <row r="147" customFormat="false" ht="15" hidden="false" customHeight="false" outlineLevel="0" collapsed="false">
      <c r="A147" s="2" t="s">
        <v>173</v>
      </c>
      <c r="B147" s="2" t="s">
        <v>6</v>
      </c>
      <c r="C147" s="2" t="s">
        <v>133</v>
      </c>
      <c r="D147" s="2" t="s">
        <v>134</v>
      </c>
      <c r="E147" s="2" t="s">
        <v>161</v>
      </c>
    </row>
    <row r="148" customFormat="false" ht="15" hidden="false" customHeight="false" outlineLevel="0" collapsed="false">
      <c r="A148" s="2" t="s">
        <v>174</v>
      </c>
      <c r="B148" s="2" t="s">
        <v>6</v>
      </c>
      <c r="C148" s="2" t="s">
        <v>133</v>
      </c>
      <c r="D148" s="2" t="s">
        <v>134</v>
      </c>
      <c r="E148" s="2" t="s">
        <v>161</v>
      </c>
    </row>
    <row r="149" customFormat="false" ht="15" hidden="false" customHeight="false" outlineLevel="0" collapsed="false">
      <c r="A149" s="2" t="s">
        <v>175</v>
      </c>
      <c r="B149" s="2" t="s">
        <v>6</v>
      </c>
      <c r="C149" s="2" t="s">
        <v>133</v>
      </c>
      <c r="D149" s="2" t="s">
        <v>134</v>
      </c>
      <c r="E149" s="2" t="s">
        <v>161</v>
      </c>
    </row>
    <row r="150" customFormat="false" ht="15" hidden="false" customHeight="false" outlineLevel="0" collapsed="false">
      <c r="A150" s="2" t="s">
        <v>176</v>
      </c>
      <c r="B150" s="2" t="s">
        <v>6</v>
      </c>
      <c r="C150" s="2" t="s">
        <v>133</v>
      </c>
      <c r="D150" s="2" t="s">
        <v>134</v>
      </c>
      <c r="E150" s="2" t="s">
        <v>161</v>
      </c>
    </row>
    <row r="151" customFormat="false" ht="15" hidden="false" customHeight="false" outlineLevel="0" collapsed="false">
      <c r="A151" s="2" t="s">
        <v>177</v>
      </c>
      <c r="B151" s="2" t="s">
        <v>6</v>
      </c>
      <c r="C151" s="2" t="s">
        <v>133</v>
      </c>
      <c r="D151" s="2" t="s">
        <v>134</v>
      </c>
      <c r="E151" s="2" t="s">
        <v>161</v>
      </c>
    </row>
    <row r="152" customFormat="false" ht="15" hidden="false" customHeight="false" outlineLevel="0" collapsed="false">
      <c r="A152" s="2" t="s">
        <v>178</v>
      </c>
      <c r="B152" s="2" t="s">
        <v>6</v>
      </c>
      <c r="C152" s="2" t="s">
        <v>133</v>
      </c>
      <c r="D152" s="2" t="s">
        <v>134</v>
      </c>
      <c r="E152" s="2" t="s">
        <v>179</v>
      </c>
    </row>
    <row r="153" customFormat="false" ht="15" hidden="false" customHeight="false" outlineLevel="0" collapsed="false">
      <c r="A153" s="2" t="s">
        <v>180</v>
      </c>
      <c r="B153" s="2" t="s">
        <v>6</v>
      </c>
      <c r="C153" s="2" t="s">
        <v>133</v>
      </c>
      <c r="D153" s="2" t="s">
        <v>134</v>
      </c>
      <c r="E153" s="2" t="s">
        <v>179</v>
      </c>
    </row>
    <row r="154" customFormat="false" ht="15" hidden="false" customHeight="false" outlineLevel="0" collapsed="false">
      <c r="A154" s="2" t="s">
        <v>181</v>
      </c>
      <c r="B154" s="2" t="s">
        <v>6</v>
      </c>
      <c r="C154" s="2" t="s">
        <v>133</v>
      </c>
      <c r="D154" s="2" t="s">
        <v>134</v>
      </c>
      <c r="E154" s="2" t="s">
        <v>179</v>
      </c>
    </row>
    <row r="155" customFormat="false" ht="15" hidden="false" customHeight="false" outlineLevel="0" collapsed="false">
      <c r="A155" s="2" t="s">
        <v>182</v>
      </c>
      <c r="B155" s="2" t="s">
        <v>6</v>
      </c>
      <c r="C155" s="2" t="s">
        <v>133</v>
      </c>
      <c r="D155" s="2" t="s">
        <v>134</v>
      </c>
      <c r="E155" s="2" t="s">
        <v>179</v>
      </c>
    </row>
    <row r="156" customFormat="false" ht="15" hidden="false" customHeight="false" outlineLevel="0" collapsed="false">
      <c r="A156" s="2" t="s">
        <v>183</v>
      </c>
      <c r="B156" s="2" t="s">
        <v>6</v>
      </c>
      <c r="C156" s="2" t="s">
        <v>133</v>
      </c>
      <c r="D156" s="2" t="s">
        <v>134</v>
      </c>
      <c r="E156" s="2" t="s">
        <v>179</v>
      </c>
    </row>
    <row r="157" customFormat="false" ht="15" hidden="false" customHeight="false" outlineLevel="0" collapsed="false">
      <c r="A157" s="2" t="s">
        <v>184</v>
      </c>
      <c r="B157" s="2" t="s">
        <v>6</v>
      </c>
      <c r="C157" s="2" t="s">
        <v>133</v>
      </c>
      <c r="D157" s="2" t="s">
        <v>134</v>
      </c>
      <c r="E157" s="2" t="s">
        <v>179</v>
      </c>
    </row>
    <row r="158" customFormat="false" ht="15" hidden="false" customHeight="false" outlineLevel="0" collapsed="false">
      <c r="A158" s="2" t="s">
        <v>185</v>
      </c>
      <c r="B158" s="2" t="s">
        <v>6</v>
      </c>
      <c r="C158" s="2" t="s">
        <v>133</v>
      </c>
      <c r="D158" s="2" t="s">
        <v>134</v>
      </c>
      <c r="E158" s="2" t="s">
        <v>179</v>
      </c>
    </row>
    <row r="159" customFormat="false" ht="15" hidden="false" customHeight="false" outlineLevel="0" collapsed="false">
      <c r="A159" s="2" t="s">
        <v>186</v>
      </c>
      <c r="B159" s="2" t="s">
        <v>6</v>
      </c>
      <c r="C159" s="2" t="s">
        <v>133</v>
      </c>
      <c r="D159" s="2" t="s">
        <v>134</v>
      </c>
      <c r="E159" s="2" t="s">
        <v>179</v>
      </c>
    </row>
    <row r="160" customFormat="false" ht="15" hidden="false" customHeight="false" outlineLevel="0" collapsed="false">
      <c r="A160" s="2" t="s">
        <v>187</v>
      </c>
      <c r="B160" s="2" t="s">
        <v>6</v>
      </c>
      <c r="C160" s="2" t="s">
        <v>133</v>
      </c>
      <c r="D160" s="2" t="s">
        <v>134</v>
      </c>
      <c r="E160" s="2" t="s">
        <v>179</v>
      </c>
    </row>
    <row r="161" customFormat="false" ht="15" hidden="false" customHeight="false" outlineLevel="0" collapsed="false">
      <c r="A161" s="3" t="s">
        <v>188</v>
      </c>
      <c r="B161" s="3" t="s">
        <v>19</v>
      </c>
      <c r="C161" s="3" t="s">
        <v>189</v>
      </c>
      <c r="D161" s="3" t="s">
        <v>190</v>
      </c>
      <c r="E161" s="3" t="s">
        <v>191</v>
      </c>
    </row>
    <row r="162" customFormat="false" ht="15" hidden="false" customHeight="false" outlineLevel="0" collapsed="false">
      <c r="A162" s="2" t="s">
        <v>192</v>
      </c>
      <c r="B162" s="2" t="s">
        <v>6</v>
      </c>
      <c r="C162" s="2" t="s">
        <v>189</v>
      </c>
      <c r="D162" s="2" t="s">
        <v>190</v>
      </c>
      <c r="E162" s="2" t="s">
        <v>191</v>
      </c>
    </row>
    <row r="163" customFormat="false" ht="15" hidden="false" customHeight="false" outlineLevel="0" collapsed="false">
      <c r="A163" s="3" t="s">
        <v>193</v>
      </c>
      <c r="B163" s="3" t="s">
        <v>19</v>
      </c>
      <c r="C163" s="3" t="s">
        <v>189</v>
      </c>
      <c r="D163" s="3" t="s">
        <v>190</v>
      </c>
      <c r="E163" s="3" t="s">
        <v>191</v>
      </c>
    </row>
    <row r="164" customFormat="false" ht="15" hidden="false" customHeight="false" outlineLevel="0" collapsed="false">
      <c r="A164" s="2" t="s">
        <v>194</v>
      </c>
      <c r="B164" s="2" t="s">
        <v>6</v>
      </c>
      <c r="C164" s="2" t="s">
        <v>189</v>
      </c>
      <c r="D164" s="2" t="s">
        <v>190</v>
      </c>
      <c r="E164" s="2" t="s">
        <v>191</v>
      </c>
    </row>
    <row r="165" customFormat="false" ht="15" hidden="false" customHeight="false" outlineLevel="0" collapsed="false">
      <c r="A165" s="2" t="s">
        <v>195</v>
      </c>
      <c r="B165" s="2" t="s">
        <v>6</v>
      </c>
      <c r="C165" s="2" t="s">
        <v>189</v>
      </c>
      <c r="D165" s="2" t="s">
        <v>190</v>
      </c>
      <c r="E165" s="2" t="s">
        <v>191</v>
      </c>
    </row>
    <row r="166" customFormat="false" ht="15" hidden="false" customHeight="false" outlineLevel="0" collapsed="false">
      <c r="A166" s="3" t="s">
        <v>196</v>
      </c>
      <c r="B166" s="3" t="s">
        <v>19</v>
      </c>
      <c r="C166" s="3" t="s">
        <v>189</v>
      </c>
      <c r="D166" s="3" t="s">
        <v>190</v>
      </c>
      <c r="E166" s="3" t="s">
        <v>191</v>
      </c>
    </row>
    <row r="167" customFormat="false" ht="15" hidden="false" customHeight="false" outlineLevel="0" collapsed="false">
      <c r="A167" s="3" t="s">
        <v>197</v>
      </c>
      <c r="B167" s="3" t="s">
        <v>19</v>
      </c>
      <c r="C167" s="3" t="s">
        <v>189</v>
      </c>
      <c r="D167" s="3" t="s">
        <v>190</v>
      </c>
      <c r="E167" s="3" t="s">
        <v>191</v>
      </c>
    </row>
    <row r="168" customFormat="false" ht="15" hidden="false" customHeight="false" outlineLevel="0" collapsed="false">
      <c r="A168" s="3" t="s">
        <v>198</v>
      </c>
      <c r="B168" s="3" t="s">
        <v>19</v>
      </c>
      <c r="C168" s="3" t="s">
        <v>189</v>
      </c>
      <c r="D168" s="3" t="s">
        <v>190</v>
      </c>
      <c r="E168" s="3" t="s">
        <v>191</v>
      </c>
    </row>
    <row r="169" customFormat="false" ht="15" hidden="false" customHeight="false" outlineLevel="0" collapsed="false">
      <c r="A169" s="2" t="s">
        <v>199</v>
      </c>
      <c r="B169" s="2" t="s">
        <v>6</v>
      </c>
      <c r="C169" s="2" t="s">
        <v>189</v>
      </c>
      <c r="D169" s="2" t="s">
        <v>190</v>
      </c>
      <c r="E169" s="2" t="s">
        <v>191</v>
      </c>
    </row>
    <row r="170" customFormat="false" ht="15" hidden="false" customHeight="false" outlineLevel="0" collapsed="false">
      <c r="A170" s="3" t="s">
        <v>200</v>
      </c>
      <c r="B170" s="3" t="s">
        <v>19</v>
      </c>
      <c r="C170" s="3" t="s">
        <v>189</v>
      </c>
      <c r="D170" s="3" t="s">
        <v>190</v>
      </c>
      <c r="E170" s="3" t="s">
        <v>191</v>
      </c>
    </row>
    <row r="171" customFormat="false" ht="15" hidden="false" customHeight="false" outlineLevel="0" collapsed="false">
      <c r="A171" s="2" t="s">
        <v>201</v>
      </c>
      <c r="B171" s="2" t="s">
        <v>6</v>
      </c>
      <c r="C171" s="2" t="s">
        <v>189</v>
      </c>
      <c r="D171" s="2" t="s">
        <v>190</v>
      </c>
      <c r="E171" s="2" t="s">
        <v>191</v>
      </c>
    </row>
    <row r="172" customFormat="false" ht="15" hidden="false" customHeight="false" outlineLevel="0" collapsed="false">
      <c r="A172" s="2" t="s">
        <v>202</v>
      </c>
      <c r="B172" s="2" t="s">
        <v>6</v>
      </c>
      <c r="C172" s="2" t="s">
        <v>189</v>
      </c>
      <c r="D172" s="2" t="s">
        <v>190</v>
      </c>
      <c r="E172" s="2" t="s">
        <v>191</v>
      </c>
    </row>
    <row r="173" customFormat="false" ht="15" hidden="false" customHeight="false" outlineLevel="0" collapsed="false">
      <c r="A173" s="2" t="s">
        <v>203</v>
      </c>
      <c r="B173" s="2" t="s">
        <v>6</v>
      </c>
      <c r="C173" s="2" t="s">
        <v>189</v>
      </c>
      <c r="D173" s="2" t="s">
        <v>190</v>
      </c>
      <c r="E173" s="2" t="s">
        <v>191</v>
      </c>
    </row>
    <row r="174" customFormat="false" ht="15" hidden="false" customHeight="false" outlineLevel="0" collapsed="false">
      <c r="A174" s="3" t="s">
        <v>204</v>
      </c>
      <c r="B174" s="3" t="s">
        <v>19</v>
      </c>
      <c r="C174" s="3" t="s">
        <v>189</v>
      </c>
      <c r="D174" s="3" t="s">
        <v>190</v>
      </c>
      <c r="E174" s="3" t="s">
        <v>191</v>
      </c>
    </row>
    <row r="175" customFormat="false" ht="15" hidden="false" customHeight="false" outlineLevel="0" collapsed="false">
      <c r="A175" s="2" t="s">
        <v>205</v>
      </c>
      <c r="B175" s="2" t="s">
        <v>6</v>
      </c>
      <c r="C175" s="2" t="s">
        <v>189</v>
      </c>
      <c r="D175" s="2" t="s">
        <v>190</v>
      </c>
      <c r="E175" s="2" t="s">
        <v>191</v>
      </c>
    </row>
    <row r="176" customFormat="false" ht="15" hidden="false" customHeight="false" outlineLevel="0" collapsed="false">
      <c r="A176" s="2" t="s">
        <v>206</v>
      </c>
      <c r="B176" s="2" t="s">
        <v>6</v>
      </c>
      <c r="C176" s="2" t="s">
        <v>189</v>
      </c>
      <c r="D176" s="2" t="s">
        <v>190</v>
      </c>
      <c r="E176" s="2" t="s">
        <v>191</v>
      </c>
    </row>
    <row r="177" customFormat="false" ht="15" hidden="false" customHeight="false" outlineLevel="0" collapsed="false">
      <c r="A177" s="3" t="s">
        <v>207</v>
      </c>
      <c r="B177" s="3" t="s">
        <v>19</v>
      </c>
      <c r="C177" s="3" t="s">
        <v>189</v>
      </c>
      <c r="D177" s="3" t="s">
        <v>190</v>
      </c>
      <c r="E177" s="3" t="s">
        <v>191</v>
      </c>
    </row>
    <row r="178" customFormat="false" ht="15" hidden="false" customHeight="false" outlineLevel="0" collapsed="false">
      <c r="A178" s="3" t="s">
        <v>208</v>
      </c>
      <c r="B178" s="3" t="s">
        <v>19</v>
      </c>
      <c r="C178" s="3" t="s">
        <v>189</v>
      </c>
      <c r="D178" s="3" t="s">
        <v>190</v>
      </c>
      <c r="E178" s="3" t="s">
        <v>191</v>
      </c>
    </row>
    <row r="179" customFormat="false" ht="15" hidden="false" customHeight="false" outlineLevel="0" collapsed="false">
      <c r="A179" s="3" t="s">
        <v>209</v>
      </c>
      <c r="B179" s="3" t="s">
        <v>19</v>
      </c>
      <c r="C179" s="3" t="s">
        <v>189</v>
      </c>
      <c r="D179" s="3" t="s">
        <v>190</v>
      </c>
      <c r="E179" s="3" t="s">
        <v>191</v>
      </c>
    </row>
    <row r="180" customFormat="false" ht="15" hidden="false" customHeight="false" outlineLevel="0" collapsed="false">
      <c r="A180" s="3" t="s">
        <v>210</v>
      </c>
      <c r="B180" s="3" t="s">
        <v>19</v>
      </c>
      <c r="C180" s="3" t="s">
        <v>189</v>
      </c>
      <c r="D180" s="3" t="s">
        <v>190</v>
      </c>
      <c r="E180" s="3" t="s">
        <v>191</v>
      </c>
    </row>
    <row r="181" customFormat="false" ht="15" hidden="false" customHeight="false" outlineLevel="0" collapsed="false">
      <c r="A181" s="2" t="s">
        <v>211</v>
      </c>
      <c r="B181" s="2" t="s">
        <v>6</v>
      </c>
      <c r="C181" s="2" t="s">
        <v>189</v>
      </c>
      <c r="D181" s="2" t="s">
        <v>190</v>
      </c>
      <c r="E181" s="2" t="s">
        <v>191</v>
      </c>
    </row>
    <row r="182" customFormat="false" ht="15" hidden="false" customHeight="false" outlineLevel="0" collapsed="false">
      <c r="A182" s="2" t="s">
        <v>212</v>
      </c>
      <c r="B182" s="2" t="s">
        <v>6</v>
      </c>
      <c r="C182" s="2" t="s">
        <v>189</v>
      </c>
      <c r="D182" s="2" t="s">
        <v>190</v>
      </c>
      <c r="E182" s="2" t="s">
        <v>191</v>
      </c>
    </row>
    <row r="183" customFormat="false" ht="15" hidden="false" customHeight="false" outlineLevel="0" collapsed="false">
      <c r="A183" s="3" t="s">
        <v>213</v>
      </c>
      <c r="B183" s="3" t="s">
        <v>19</v>
      </c>
      <c r="C183" s="3" t="s">
        <v>189</v>
      </c>
      <c r="D183" s="3" t="s">
        <v>190</v>
      </c>
      <c r="E183" s="3" t="s">
        <v>191</v>
      </c>
    </row>
    <row r="184" customFormat="false" ht="15" hidden="false" customHeight="false" outlineLevel="0" collapsed="false">
      <c r="A184" s="2" t="s">
        <v>214</v>
      </c>
      <c r="B184" s="2" t="s">
        <v>6</v>
      </c>
      <c r="C184" s="2" t="s">
        <v>189</v>
      </c>
      <c r="D184" s="2" t="s">
        <v>190</v>
      </c>
      <c r="E184" s="2" t="s">
        <v>191</v>
      </c>
    </row>
    <row r="185" customFormat="false" ht="15" hidden="false" customHeight="false" outlineLevel="0" collapsed="false">
      <c r="A185" s="3" t="s">
        <v>215</v>
      </c>
      <c r="B185" s="3" t="s">
        <v>19</v>
      </c>
      <c r="C185" s="3" t="s">
        <v>189</v>
      </c>
      <c r="D185" s="3" t="s">
        <v>190</v>
      </c>
      <c r="E185" s="3" t="s">
        <v>191</v>
      </c>
    </row>
    <row r="186" customFormat="false" ht="15" hidden="false" customHeight="false" outlineLevel="0" collapsed="false">
      <c r="A186" s="2" t="s">
        <v>216</v>
      </c>
      <c r="B186" s="2" t="s">
        <v>6</v>
      </c>
      <c r="C186" s="2" t="s">
        <v>189</v>
      </c>
      <c r="D186" s="2" t="s">
        <v>190</v>
      </c>
      <c r="E186" s="2" t="s">
        <v>191</v>
      </c>
    </row>
    <row r="187" customFormat="false" ht="15" hidden="false" customHeight="false" outlineLevel="0" collapsed="false">
      <c r="A187" s="3" t="s">
        <v>217</v>
      </c>
      <c r="B187" s="3" t="s">
        <v>19</v>
      </c>
      <c r="C187" s="3" t="s">
        <v>189</v>
      </c>
      <c r="D187" s="3" t="s">
        <v>190</v>
      </c>
      <c r="E187" s="3" t="s">
        <v>191</v>
      </c>
    </row>
    <row r="188" customFormat="false" ht="15" hidden="false" customHeight="false" outlineLevel="0" collapsed="false">
      <c r="A188" s="3" t="s">
        <v>218</v>
      </c>
      <c r="B188" s="3" t="s">
        <v>19</v>
      </c>
      <c r="C188" s="3" t="s">
        <v>189</v>
      </c>
      <c r="D188" s="3" t="s">
        <v>190</v>
      </c>
      <c r="E188" s="3" t="s">
        <v>191</v>
      </c>
    </row>
    <row r="189" customFormat="false" ht="15" hidden="false" customHeight="false" outlineLevel="0" collapsed="false">
      <c r="A189" s="2" t="s">
        <v>219</v>
      </c>
      <c r="B189" s="2" t="s">
        <v>6</v>
      </c>
      <c r="C189" s="2" t="s">
        <v>189</v>
      </c>
      <c r="D189" s="2" t="s">
        <v>190</v>
      </c>
      <c r="E189" s="2" t="s">
        <v>220</v>
      </c>
    </row>
    <row r="190" customFormat="false" ht="15" hidden="false" customHeight="false" outlineLevel="0" collapsed="false">
      <c r="A190" s="2" t="s">
        <v>221</v>
      </c>
      <c r="B190" s="2" t="s">
        <v>6</v>
      </c>
      <c r="C190" s="2" t="s">
        <v>189</v>
      </c>
      <c r="D190" s="2" t="s">
        <v>190</v>
      </c>
      <c r="E190" s="2" t="s">
        <v>220</v>
      </c>
    </row>
    <row r="191" customFormat="false" ht="15" hidden="false" customHeight="false" outlineLevel="0" collapsed="false">
      <c r="A191" s="2" t="s">
        <v>222</v>
      </c>
      <c r="B191" s="2" t="s">
        <v>6</v>
      </c>
      <c r="C191" s="2" t="s">
        <v>189</v>
      </c>
      <c r="D191" s="2" t="s">
        <v>190</v>
      </c>
      <c r="E191" s="2" t="s">
        <v>220</v>
      </c>
    </row>
    <row r="192" customFormat="false" ht="15" hidden="false" customHeight="false" outlineLevel="0" collapsed="false">
      <c r="A192" s="2" t="s">
        <v>223</v>
      </c>
      <c r="B192" s="2" t="s">
        <v>6</v>
      </c>
      <c r="C192" s="2" t="s">
        <v>189</v>
      </c>
      <c r="D192" s="2" t="s">
        <v>190</v>
      </c>
      <c r="E192" s="2" t="s">
        <v>220</v>
      </c>
    </row>
    <row r="193" customFormat="false" ht="15" hidden="false" customHeight="false" outlineLevel="0" collapsed="false">
      <c r="A193" s="2" t="s">
        <v>224</v>
      </c>
      <c r="B193" s="2" t="s">
        <v>6</v>
      </c>
      <c r="C193" s="2" t="s">
        <v>189</v>
      </c>
      <c r="D193" s="2" t="s">
        <v>190</v>
      </c>
      <c r="E193" s="2" t="s">
        <v>220</v>
      </c>
    </row>
    <row r="194" customFormat="false" ht="15" hidden="false" customHeight="false" outlineLevel="0" collapsed="false">
      <c r="A194" s="2" t="s">
        <v>225</v>
      </c>
      <c r="B194" s="2" t="s">
        <v>6</v>
      </c>
      <c r="C194" s="2" t="s">
        <v>189</v>
      </c>
      <c r="D194" s="2" t="s">
        <v>190</v>
      </c>
      <c r="E194" s="2" t="s">
        <v>220</v>
      </c>
    </row>
    <row r="195" customFormat="false" ht="15" hidden="false" customHeight="false" outlineLevel="0" collapsed="false">
      <c r="A195" s="2" t="s">
        <v>226</v>
      </c>
      <c r="B195" s="2" t="s">
        <v>6</v>
      </c>
      <c r="C195" s="2" t="s">
        <v>189</v>
      </c>
      <c r="D195" s="2" t="s">
        <v>190</v>
      </c>
      <c r="E195" s="2" t="s">
        <v>220</v>
      </c>
    </row>
    <row r="196" customFormat="false" ht="15" hidden="false" customHeight="false" outlineLevel="0" collapsed="false">
      <c r="A196" s="2" t="s">
        <v>227</v>
      </c>
      <c r="B196" s="2" t="s">
        <v>6</v>
      </c>
      <c r="C196" s="2" t="s">
        <v>189</v>
      </c>
      <c r="D196" s="2" t="s">
        <v>190</v>
      </c>
      <c r="E196" s="2" t="s">
        <v>220</v>
      </c>
    </row>
    <row r="197" customFormat="false" ht="15" hidden="false" customHeight="false" outlineLevel="0" collapsed="false">
      <c r="A197" s="2" t="s">
        <v>228</v>
      </c>
      <c r="B197" s="2" t="s">
        <v>6</v>
      </c>
      <c r="C197" s="2" t="s">
        <v>189</v>
      </c>
      <c r="D197" s="2" t="s">
        <v>190</v>
      </c>
      <c r="E197" s="2" t="s">
        <v>229</v>
      </c>
    </row>
    <row r="198" customFormat="false" ht="15" hidden="false" customHeight="false" outlineLevel="0" collapsed="false">
      <c r="A198" s="2" t="s">
        <v>230</v>
      </c>
      <c r="B198" s="2" t="s">
        <v>6</v>
      </c>
      <c r="C198" s="2" t="s">
        <v>189</v>
      </c>
      <c r="D198" s="2" t="s">
        <v>190</v>
      </c>
      <c r="E198" s="2" t="s">
        <v>229</v>
      </c>
    </row>
    <row r="199" customFormat="false" ht="15" hidden="false" customHeight="false" outlineLevel="0" collapsed="false">
      <c r="A199" s="2" t="s">
        <v>231</v>
      </c>
      <c r="B199" s="2" t="s">
        <v>6</v>
      </c>
      <c r="C199" s="2" t="s">
        <v>189</v>
      </c>
      <c r="D199" s="2" t="s">
        <v>190</v>
      </c>
      <c r="E199" s="2" t="s">
        <v>229</v>
      </c>
    </row>
    <row r="200" customFormat="false" ht="15" hidden="false" customHeight="false" outlineLevel="0" collapsed="false">
      <c r="A200" s="2" t="s">
        <v>232</v>
      </c>
      <c r="B200" s="2" t="s">
        <v>6</v>
      </c>
      <c r="C200" s="2" t="s">
        <v>189</v>
      </c>
      <c r="D200" s="2" t="s">
        <v>190</v>
      </c>
      <c r="E200" s="2" t="s">
        <v>229</v>
      </c>
    </row>
    <row r="201" customFormat="false" ht="15" hidden="false" customHeight="false" outlineLevel="0" collapsed="false">
      <c r="A201" s="2" t="s">
        <v>233</v>
      </c>
      <c r="B201" s="2" t="s">
        <v>6</v>
      </c>
      <c r="C201" s="2" t="s">
        <v>189</v>
      </c>
      <c r="D201" s="2" t="s">
        <v>190</v>
      </c>
      <c r="E201" s="2" t="s">
        <v>229</v>
      </c>
    </row>
    <row r="202" customFormat="false" ht="15" hidden="false" customHeight="false" outlineLevel="0" collapsed="false">
      <c r="A202" s="2" t="s">
        <v>234</v>
      </c>
      <c r="B202" s="2" t="s">
        <v>6</v>
      </c>
      <c r="C202" s="2" t="s">
        <v>189</v>
      </c>
      <c r="D202" s="2" t="s">
        <v>190</v>
      </c>
      <c r="E202" s="2" t="s">
        <v>229</v>
      </c>
    </row>
    <row r="203" customFormat="false" ht="15" hidden="false" customHeight="false" outlineLevel="0" collapsed="false">
      <c r="A203" s="3" t="s">
        <v>235</v>
      </c>
      <c r="B203" s="3" t="s">
        <v>19</v>
      </c>
      <c r="C203" s="3" t="s">
        <v>189</v>
      </c>
      <c r="D203" s="3" t="s">
        <v>190</v>
      </c>
      <c r="E203" s="3" t="s">
        <v>229</v>
      </c>
    </row>
    <row r="204" customFormat="false" ht="15" hidden="false" customHeight="false" outlineLevel="0" collapsed="false">
      <c r="A204" s="3" t="s">
        <v>236</v>
      </c>
      <c r="B204" s="3" t="s">
        <v>19</v>
      </c>
      <c r="C204" s="3" t="s">
        <v>189</v>
      </c>
      <c r="D204" s="3" t="s">
        <v>190</v>
      </c>
      <c r="E204" s="3" t="s">
        <v>229</v>
      </c>
    </row>
    <row r="205" customFormat="false" ht="15" hidden="false" customHeight="false" outlineLevel="0" collapsed="false">
      <c r="A205" s="2" t="s">
        <v>237</v>
      </c>
      <c r="B205" s="2" t="s">
        <v>6</v>
      </c>
      <c r="C205" s="2" t="s">
        <v>189</v>
      </c>
      <c r="D205" s="2" t="s">
        <v>190</v>
      </c>
      <c r="E205" s="2" t="s">
        <v>229</v>
      </c>
    </row>
    <row r="206" customFormat="false" ht="15" hidden="false" customHeight="false" outlineLevel="0" collapsed="false">
      <c r="A206" s="2" t="s">
        <v>238</v>
      </c>
      <c r="B206" s="2" t="s">
        <v>6</v>
      </c>
      <c r="C206" s="2" t="s">
        <v>189</v>
      </c>
      <c r="D206" s="2" t="s">
        <v>190</v>
      </c>
      <c r="E206" s="2" t="s">
        <v>229</v>
      </c>
    </row>
    <row r="207" customFormat="false" ht="15" hidden="false" customHeight="false" outlineLevel="0" collapsed="false">
      <c r="A207" s="2" t="s">
        <v>239</v>
      </c>
      <c r="B207" s="2" t="s">
        <v>6</v>
      </c>
      <c r="C207" s="2" t="s">
        <v>189</v>
      </c>
      <c r="D207" s="2" t="s">
        <v>190</v>
      </c>
      <c r="E207" s="2" t="s">
        <v>229</v>
      </c>
    </row>
    <row r="208" customFormat="false" ht="15" hidden="false" customHeight="false" outlineLevel="0" collapsed="false">
      <c r="A208" s="2" t="s">
        <v>240</v>
      </c>
      <c r="B208" s="2" t="s">
        <v>6</v>
      </c>
      <c r="C208" s="2" t="s">
        <v>189</v>
      </c>
      <c r="D208" s="2" t="s">
        <v>190</v>
      </c>
      <c r="E208" s="2" t="s">
        <v>229</v>
      </c>
    </row>
    <row r="209" customFormat="false" ht="15" hidden="false" customHeight="false" outlineLevel="0" collapsed="false">
      <c r="A209" s="2" t="s">
        <v>241</v>
      </c>
      <c r="B209" s="2" t="s">
        <v>6</v>
      </c>
      <c r="C209" s="2" t="s">
        <v>189</v>
      </c>
      <c r="D209" s="2" t="s">
        <v>190</v>
      </c>
      <c r="E209" s="2" t="s">
        <v>229</v>
      </c>
    </row>
    <row r="210" customFormat="false" ht="15" hidden="false" customHeight="false" outlineLevel="0" collapsed="false">
      <c r="A210" s="2" t="s">
        <v>242</v>
      </c>
      <c r="B210" s="2" t="s">
        <v>6</v>
      </c>
      <c r="C210" s="2" t="s">
        <v>189</v>
      </c>
      <c r="D210" s="2" t="s">
        <v>190</v>
      </c>
      <c r="E210" s="2" t="s">
        <v>229</v>
      </c>
    </row>
    <row r="211" customFormat="false" ht="15" hidden="false" customHeight="false" outlineLevel="0" collapsed="false">
      <c r="A211" s="3" t="s">
        <v>243</v>
      </c>
      <c r="B211" s="3" t="s">
        <v>19</v>
      </c>
      <c r="C211" s="3" t="s">
        <v>189</v>
      </c>
      <c r="D211" s="3" t="s">
        <v>134</v>
      </c>
      <c r="E211" s="3" t="s">
        <v>244</v>
      </c>
    </row>
    <row r="212" customFormat="false" ht="15" hidden="false" customHeight="false" outlineLevel="0" collapsed="false">
      <c r="A212" s="2" t="s">
        <v>245</v>
      </c>
      <c r="B212" s="2" t="s">
        <v>6</v>
      </c>
      <c r="C212" s="2" t="s">
        <v>189</v>
      </c>
      <c r="D212" s="2" t="s">
        <v>134</v>
      </c>
      <c r="E212" s="2" t="s">
        <v>244</v>
      </c>
    </row>
    <row r="213" customFormat="false" ht="15" hidden="false" customHeight="false" outlineLevel="0" collapsed="false">
      <c r="A213" s="3" t="s">
        <v>246</v>
      </c>
      <c r="B213" s="3" t="s">
        <v>19</v>
      </c>
      <c r="C213" s="3" t="s">
        <v>189</v>
      </c>
      <c r="D213" s="3" t="s">
        <v>134</v>
      </c>
      <c r="E213" s="3" t="s">
        <v>244</v>
      </c>
    </row>
    <row r="214" customFormat="false" ht="15" hidden="false" customHeight="false" outlineLevel="0" collapsed="false">
      <c r="A214" s="3" t="s">
        <v>247</v>
      </c>
      <c r="B214" s="3" t="s">
        <v>19</v>
      </c>
      <c r="C214" s="3" t="s">
        <v>189</v>
      </c>
      <c r="D214" s="3" t="s">
        <v>134</v>
      </c>
      <c r="E214" s="3" t="s">
        <v>244</v>
      </c>
    </row>
    <row r="215" customFormat="false" ht="15" hidden="false" customHeight="false" outlineLevel="0" collapsed="false">
      <c r="A215" s="2" t="s">
        <v>248</v>
      </c>
      <c r="B215" s="2" t="s">
        <v>6</v>
      </c>
      <c r="C215" s="2" t="s">
        <v>189</v>
      </c>
      <c r="D215" s="2" t="s">
        <v>134</v>
      </c>
      <c r="E215" s="2" t="s">
        <v>244</v>
      </c>
    </row>
    <row r="216" customFormat="false" ht="15" hidden="false" customHeight="false" outlineLevel="0" collapsed="false">
      <c r="A216" s="2" t="s">
        <v>249</v>
      </c>
      <c r="B216" s="2" t="s">
        <v>6</v>
      </c>
      <c r="C216" s="2" t="s">
        <v>250</v>
      </c>
      <c r="D216" s="2" t="s">
        <v>251</v>
      </c>
      <c r="E216" s="2" t="s">
        <v>252</v>
      </c>
    </row>
    <row r="217" customFormat="false" ht="15" hidden="false" customHeight="false" outlineLevel="0" collapsed="false">
      <c r="A217" s="2" t="s">
        <v>253</v>
      </c>
      <c r="B217" s="2" t="s">
        <v>6</v>
      </c>
      <c r="C217" s="2" t="s">
        <v>250</v>
      </c>
      <c r="D217" s="2" t="s">
        <v>251</v>
      </c>
      <c r="E217" s="2" t="s">
        <v>252</v>
      </c>
    </row>
    <row r="218" customFormat="false" ht="15" hidden="false" customHeight="false" outlineLevel="0" collapsed="false">
      <c r="A218" s="2" t="s">
        <v>254</v>
      </c>
      <c r="B218" s="2" t="s">
        <v>6</v>
      </c>
      <c r="C218" s="2" t="s">
        <v>250</v>
      </c>
      <c r="D218" s="2" t="s">
        <v>255</v>
      </c>
      <c r="E218" s="2" t="s">
        <v>256</v>
      </c>
    </row>
    <row r="219" customFormat="false" ht="15" hidden="false" customHeight="false" outlineLevel="0" collapsed="false">
      <c r="A219" s="3" t="s">
        <v>257</v>
      </c>
      <c r="B219" s="3" t="s">
        <v>19</v>
      </c>
      <c r="C219" s="3" t="s">
        <v>250</v>
      </c>
      <c r="D219" s="3" t="s">
        <v>255</v>
      </c>
      <c r="E219" s="3" t="s">
        <v>256</v>
      </c>
    </row>
    <row r="220" customFormat="false" ht="15" hidden="false" customHeight="false" outlineLevel="0" collapsed="false">
      <c r="A220" s="2" t="s">
        <v>258</v>
      </c>
      <c r="B220" s="2" t="s">
        <v>6</v>
      </c>
      <c r="C220" s="2" t="s">
        <v>250</v>
      </c>
      <c r="D220" s="2" t="s">
        <v>255</v>
      </c>
      <c r="E220" s="2" t="s">
        <v>256</v>
      </c>
    </row>
    <row r="221" customFormat="false" ht="15" hidden="false" customHeight="false" outlineLevel="0" collapsed="false">
      <c r="A221" s="2" t="s">
        <v>259</v>
      </c>
      <c r="B221" s="2" t="s">
        <v>6</v>
      </c>
      <c r="C221" s="2" t="s">
        <v>250</v>
      </c>
      <c r="D221" s="2" t="s">
        <v>255</v>
      </c>
      <c r="E221" s="2" t="s">
        <v>256</v>
      </c>
    </row>
    <row r="222" customFormat="false" ht="15" hidden="false" customHeight="false" outlineLevel="0" collapsed="false">
      <c r="A222" s="2" t="s">
        <v>260</v>
      </c>
      <c r="B222" s="2" t="s">
        <v>6</v>
      </c>
      <c r="C222" s="2" t="s">
        <v>250</v>
      </c>
      <c r="D222" s="2" t="s">
        <v>255</v>
      </c>
      <c r="E222" s="2" t="s">
        <v>256</v>
      </c>
    </row>
    <row r="223" customFormat="false" ht="15" hidden="false" customHeight="false" outlineLevel="0" collapsed="false">
      <c r="A223" s="3" t="s">
        <v>261</v>
      </c>
      <c r="B223" s="3" t="s">
        <v>19</v>
      </c>
      <c r="C223" s="3" t="s">
        <v>250</v>
      </c>
      <c r="D223" s="3" t="s">
        <v>255</v>
      </c>
      <c r="E223" s="3" t="s">
        <v>262</v>
      </c>
    </row>
    <row r="224" customFormat="false" ht="15" hidden="false" customHeight="false" outlineLevel="0" collapsed="false">
      <c r="A224" s="2" t="s">
        <v>263</v>
      </c>
      <c r="B224" s="2" t="s">
        <v>6</v>
      </c>
      <c r="C224" s="2" t="s">
        <v>250</v>
      </c>
      <c r="D224" s="2" t="s">
        <v>255</v>
      </c>
      <c r="E224" s="2" t="s">
        <v>262</v>
      </c>
    </row>
    <row r="225" customFormat="false" ht="15" hidden="false" customHeight="false" outlineLevel="0" collapsed="false">
      <c r="A225" s="2" t="s">
        <v>264</v>
      </c>
      <c r="B225" s="2" t="s">
        <v>6</v>
      </c>
      <c r="C225" s="2" t="s">
        <v>250</v>
      </c>
      <c r="D225" s="2" t="s">
        <v>255</v>
      </c>
      <c r="E225" s="2" t="s">
        <v>262</v>
      </c>
    </row>
    <row r="226" customFormat="false" ht="15" hidden="false" customHeight="false" outlineLevel="0" collapsed="false">
      <c r="A226" s="2" t="s">
        <v>265</v>
      </c>
      <c r="B226" s="2" t="s">
        <v>6</v>
      </c>
      <c r="C226" s="2" t="s">
        <v>250</v>
      </c>
      <c r="D226" s="2" t="s">
        <v>255</v>
      </c>
      <c r="E226" s="2" t="s">
        <v>262</v>
      </c>
    </row>
    <row r="227" customFormat="false" ht="15" hidden="false" customHeight="false" outlineLevel="0" collapsed="false">
      <c r="A227" s="2" t="s">
        <v>266</v>
      </c>
      <c r="B227" s="2" t="s">
        <v>6</v>
      </c>
      <c r="C227" s="2" t="s">
        <v>250</v>
      </c>
      <c r="D227" s="2" t="s">
        <v>255</v>
      </c>
      <c r="E227" s="2" t="s">
        <v>262</v>
      </c>
    </row>
    <row r="228" customFormat="false" ht="15" hidden="false" customHeight="false" outlineLevel="0" collapsed="false">
      <c r="A228" s="3" t="s">
        <v>267</v>
      </c>
      <c r="B228" s="3" t="s">
        <v>19</v>
      </c>
      <c r="C228" s="3" t="s">
        <v>250</v>
      </c>
      <c r="D228" s="3" t="s">
        <v>255</v>
      </c>
      <c r="E228" s="3" t="s">
        <v>262</v>
      </c>
    </row>
    <row r="229" customFormat="false" ht="15" hidden="false" customHeight="false" outlineLevel="0" collapsed="false">
      <c r="A229" s="2" t="s">
        <v>268</v>
      </c>
      <c r="B229" s="2" t="s">
        <v>6</v>
      </c>
      <c r="C229" s="2" t="s">
        <v>250</v>
      </c>
      <c r="D229" s="2" t="s">
        <v>255</v>
      </c>
      <c r="E229" s="2" t="s">
        <v>262</v>
      </c>
    </row>
    <row r="230" customFormat="false" ht="15" hidden="false" customHeight="false" outlineLevel="0" collapsed="false">
      <c r="A230" s="3" t="s">
        <v>269</v>
      </c>
      <c r="B230" s="3" t="s">
        <v>19</v>
      </c>
      <c r="C230" s="3" t="s">
        <v>250</v>
      </c>
      <c r="D230" s="3" t="s">
        <v>255</v>
      </c>
      <c r="E230" s="3" t="s">
        <v>270</v>
      </c>
    </row>
    <row r="231" customFormat="false" ht="15" hidden="false" customHeight="false" outlineLevel="0" collapsed="false">
      <c r="A231" s="3" t="s">
        <v>271</v>
      </c>
      <c r="B231" s="3" t="s">
        <v>19</v>
      </c>
      <c r="C231" s="3" t="s">
        <v>250</v>
      </c>
      <c r="D231" s="3" t="s">
        <v>255</v>
      </c>
      <c r="E231" s="3" t="s">
        <v>270</v>
      </c>
    </row>
    <row r="232" customFormat="false" ht="15" hidden="false" customHeight="false" outlineLevel="0" collapsed="false">
      <c r="A232" s="3" t="s">
        <v>272</v>
      </c>
      <c r="B232" s="3" t="s">
        <v>19</v>
      </c>
      <c r="C232" s="3" t="s">
        <v>250</v>
      </c>
      <c r="D232" s="3" t="s">
        <v>255</v>
      </c>
      <c r="E232" s="3" t="s">
        <v>270</v>
      </c>
    </row>
    <row r="233" customFormat="false" ht="15" hidden="false" customHeight="false" outlineLevel="0" collapsed="false">
      <c r="A233" s="3" t="s">
        <v>273</v>
      </c>
      <c r="B233" s="3" t="s">
        <v>19</v>
      </c>
      <c r="C233" s="3" t="s">
        <v>250</v>
      </c>
      <c r="D233" s="3" t="s">
        <v>255</v>
      </c>
      <c r="E233" s="3" t="s">
        <v>270</v>
      </c>
    </row>
    <row r="234" customFormat="false" ht="15" hidden="false" customHeight="false" outlineLevel="0" collapsed="false">
      <c r="A234" s="2" t="s">
        <v>274</v>
      </c>
      <c r="B234" s="2" t="s">
        <v>6</v>
      </c>
      <c r="C234" s="2" t="s">
        <v>250</v>
      </c>
      <c r="D234" s="2" t="s">
        <v>255</v>
      </c>
      <c r="E234" s="2" t="s">
        <v>270</v>
      </c>
    </row>
    <row r="235" customFormat="false" ht="15" hidden="false" customHeight="false" outlineLevel="0" collapsed="false">
      <c r="A235" s="3" t="s">
        <v>275</v>
      </c>
      <c r="B235" s="3" t="s">
        <v>19</v>
      </c>
      <c r="C235" s="3" t="s">
        <v>250</v>
      </c>
      <c r="D235" s="3" t="s">
        <v>255</v>
      </c>
      <c r="E235" s="3" t="s">
        <v>270</v>
      </c>
    </row>
    <row r="236" customFormat="false" ht="15" hidden="false" customHeight="false" outlineLevel="0" collapsed="false">
      <c r="A236" s="2" t="s">
        <v>276</v>
      </c>
      <c r="B236" s="2" t="s">
        <v>6</v>
      </c>
      <c r="C236" s="2" t="s">
        <v>250</v>
      </c>
      <c r="D236" s="2" t="s">
        <v>255</v>
      </c>
      <c r="E236" s="2" t="s">
        <v>270</v>
      </c>
    </row>
    <row r="237" customFormat="false" ht="15" hidden="false" customHeight="false" outlineLevel="0" collapsed="false">
      <c r="A237" s="2" t="s">
        <v>277</v>
      </c>
      <c r="B237" s="2" t="s">
        <v>6</v>
      </c>
      <c r="C237" s="2" t="s">
        <v>250</v>
      </c>
      <c r="D237" s="2" t="s">
        <v>255</v>
      </c>
      <c r="E237" s="2" t="s">
        <v>270</v>
      </c>
    </row>
    <row r="238" customFormat="false" ht="15" hidden="false" customHeight="false" outlineLevel="0" collapsed="false">
      <c r="A238" s="3" t="s">
        <v>278</v>
      </c>
      <c r="B238" s="3" t="s">
        <v>19</v>
      </c>
      <c r="C238" s="3" t="s">
        <v>250</v>
      </c>
      <c r="D238" s="3" t="s">
        <v>255</v>
      </c>
      <c r="E238" s="3" t="s">
        <v>270</v>
      </c>
    </row>
  </sheetData>
  <autoFilter ref="A1:E2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50"/>
  </cols>
  <sheetData>
    <row r="1" customFormat="false" ht="21.75" hidden="false" customHeight="true" outlineLevel="0" collapsed="false">
      <c r="A1" s="1" t="s">
        <v>0</v>
      </c>
      <c r="B1" s="1" t="s">
        <v>279</v>
      </c>
      <c r="C1" s="1" t="s">
        <v>280</v>
      </c>
    </row>
    <row r="2" customFormat="false" ht="15" hidden="false" customHeight="false" outlineLevel="0" collapsed="false">
      <c r="A2" s="4" t="s">
        <v>281</v>
      </c>
      <c r="B2" s="4" t="s">
        <v>282</v>
      </c>
      <c r="C2" s="4" t="s">
        <v>283</v>
      </c>
    </row>
    <row r="3" customFormat="false" ht="15" hidden="false" customHeight="false" outlineLevel="0" collapsed="false">
      <c r="A3" s="5" t="s">
        <v>284</v>
      </c>
      <c r="B3" s="5" t="s">
        <v>285</v>
      </c>
      <c r="C3" s="5" t="s">
        <v>286</v>
      </c>
    </row>
    <row r="4" customFormat="false" ht="15" hidden="false" customHeight="false" outlineLevel="0" collapsed="false">
      <c r="A4" s="6" t="s">
        <v>287</v>
      </c>
      <c r="B4" s="6" t="s">
        <v>288</v>
      </c>
      <c r="C4" s="6" t="s">
        <v>289</v>
      </c>
    </row>
    <row r="5" customFormat="false" ht="15" hidden="false" customHeight="false" outlineLevel="0" collapsed="false">
      <c r="A5" s="6" t="s">
        <v>290</v>
      </c>
      <c r="B5" s="6" t="s">
        <v>291</v>
      </c>
      <c r="C5" s="6" t="s">
        <v>292</v>
      </c>
    </row>
    <row r="6" customFormat="false" ht="15" hidden="false" customHeight="false" outlineLevel="0" collapsed="false">
      <c r="A6" s="7" t="s">
        <v>293</v>
      </c>
      <c r="B6" s="7" t="s">
        <v>294</v>
      </c>
      <c r="C6" s="7" t="s">
        <v>295</v>
      </c>
    </row>
    <row r="7" customFormat="false" ht="15" hidden="false" customHeight="false" outlineLevel="0" collapsed="false">
      <c r="A7" s="8" t="s">
        <v>296</v>
      </c>
      <c r="B7" s="8" t="s">
        <v>297</v>
      </c>
      <c r="C7" s="8" t="s">
        <v>298</v>
      </c>
    </row>
    <row r="8" customFormat="false" ht="15" hidden="false" customHeight="false" outlineLevel="0" collapsed="false">
      <c r="A8" s="9" t="s">
        <v>299</v>
      </c>
      <c r="B8" s="9" t="s">
        <v>300</v>
      </c>
      <c r="C8" s="9" t="s">
        <v>301</v>
      </c>
    </row>
    <row r="9" customFormat="false" ht="15" hidden="false" customHeight="false" outlineLevel="0" collapsed="false">
      <c r="A9" s="7" t="s">
        <v>302</v>
      </c>
      <c r="B9" s="7" t="s">
        <v>294</v>
      </c>
      <c r="C9" s="7" t="s">
        <v>303</v>
      </c>
    </row>
    <row r="10" customFormat="false" ht="15" hidden="false" customHeight="false" outlineLevel="0" collapsed="false">
      <c r="A10" s="10" t="s">
        <v>304</v>
      </c>
      <c r="B10" s="10" t="s">
        <v>305</v>
      </c>
      <c r="C10" s="10" t="s">
        <v>306</v>
      </c>
    </row>
    <row r="11" customFormat="false" ht="15" hidden="false" customHeight="false" outlineLevel="0" collapsed="false">
      <c r="A11" s="11" t="s">
        <v>307</v>
      </c>
      <c r="B11" s="11" t="s">
        <v>308</v>
      </c>
      <c r="C11" s="11" t="s">
        <v>309</v>
      </c>
    </row>
    <row r="12" customFormat="false" ht="15" hidden="false" customHeight="false" outlineLevel="0" collapsed="false">
      <c r="A12" s="9" t="s">
        <v>310</v>
      </c>
      <c r="B12" s="9" t="s">
        <v>311</v>
      </c>
      <c r="C12" s="9" t="s">
        <v>312</v>
      </c>
    </row>
    <row r="13" customFormat="false" ht="15" hidden="false" customHeight="false" outlineLevel="0" collapsed="false">
      <c r="A13" s="6" t="s">
        <v>313</v>
      </c>
      <c r="B13" s="6" t="s">
        <v>288</v>
      </c>
      <c r="C13" s="6" t="s">
        <v>314</v>
      </c>
    </row>
    <row r="14" customFormat="false" ht="15" hidden="false" customHeight="false" outlineLevel="0" collapsed="false">
      <c r="A14" s="6" t="s">
        <v>315</v>
      </c>
      <c r="B14" s="6" t="s">
        <v>288</v>
      </c>
      <c r="C14" s="6" t="s">
        <v>316</v>
      </c>
    </row>
    <row r="15" customFormat="false" ht="15" hidden="false" customHeight="false" outlineLevel="0" collapsed="false">
      <c r="A15" s="7" t="s">
        <v>317</v>
      </c>
      <c r="B15" s="7" t="s">
        <v>294</v>
      </c>
      <c r="C15" s="7" t="s">
        <v>318</v>
      </c>
    </row>
    <row r="16" customFormat="false" ht="15" hidden="false" customHeight="false" outlineLevel="0" collapsed="false">
      <c r="A16" s="12" t="s">
        <v>319</v>
      </c>
      <c r="B16" s="12" t="s">
        <v>320</v>
      </c>
      <c r="C16" s="12" t="s">
        <v>321</v>
      </c>
    </row>
    <row r="17" customFormat="false" ht="15" hidden="false" customHeight="false" outlineLevel="0" collapsed="false">
      <c r="A17" s="7" t="s">
        <v>322</v>
      </c>
      <c r="B17" s="7" t="s">
        <v>294</v>
      </c>
      <c r="C17" s="7" t="s">
        <v>323</v>
      </c>
    </row>
    <row r="18" customFormat="false" ht="15" hidden="false" customHeight="false" outlineLevel="0" collapsed="false">
      <c r="A18" s="7" t="s">
        <v>324</v>
      </c>
      <c r="B18" s="7" t="s">
        <v>294</v>
      </c>
      <c r="C18" s="7" t="s">
        <v>325</v>
      </c>
    </row>
    <row r="19" customFormat="false" ht="15" hidden="false" customHeight="false" outlineLevel="0" collapsed="false">
      <c r="A19" s="7" t="s">
        <v>326</v>
      </c>
      <c r="B19" s="7" t="s">
        <v>294</v>
      </c>
      <c r="C19" s="7" t="s">
        <v>327</v>
      </c>
    </row>
    <row r="20" customFormat="false" ht="15" hidden="false" customHeight="false" outlineLevel="0" collapsed="false">
      <c r="A20" s="7" t="s">
        <v>328</v>
      </c>
      <c r="B20" s="7" t="s">
        <v>294</v>
      </c>
      <c r="C20" s="7" t="s">
        <v>329</v>
      </c>
    </row>
    <row r="21" customFormat="false" ht="15" hidden="false" customHeight="false" outlineLevel="0" collapsed="false">
      <c r="A21" s="7" t="s">
        <v>330</v>
      </c>
      <c r="B21" s="7" t="s">
        <v>294</v>
      </c>
      <c r="C21" s="7" t="s">
        <v>331</v>
      </c>
    </row>
    <row r="22" customFormat="false" ht="15" hidden="false" customHeight="false" outlineLevel="0" collapsed="false">
      <c r="A22" s="6" t="s">
        <v>332</v>
      </c>
      <c r="B22" s="6" t="s">
        <v>288</v>
      </c>
      <c r="C22" s="6" t="s">
        <v>333</v>
      </c>
    </row>
    <row r="23" customFormat="false" ht="15" hidden="false" customHeight="false" outlineLevel="0" collapsed="false">
      <c r="A23" s="13" t="s">
        <v>334</v>
      </c>
      <c r="B23" s="13" t="s">
        <v>335</v>
      </c>
      <c r="C23" s="13" t="s">
        <v>336</v>
      </c>
    </row>
    <row r="24" customFormat="false" ht="15" hidden="false" customHeight="false" outlineLevel="0" collapsed="false">
      <c r="A24" s="8" t="s">
        <v>337</v>
      </c>
      <c r="B24" s="8" t="s">
        <v>338</v>
      </c>
      <c r="C24" s="8" t="s">
        <v>339</v>
      </c>
    </row>
    <row r="25" customFormat="false" ht="15" hidden="false" customHeight="false" outlineLevel="0" collapsed="false">
      <c r="A25" s="6" t="s">
        <v>340</v>
      </c>
      <c r="B25" s="6" t="s">
        <v>288</v>
      </c>
      <c r="C25" s="6" t="s">
        <v>341</v>
      </c>
    </row>
    <row r="26" customFormat="false" ht="15" hidden="false" customHeight="false" outlineLevel="0" collapsed="false">
      <c r="A26" s="11" t="s">
        <v>342</v>
      </c>
      <c r="B26" s="11" t="s">
        <v>308</v>
      </c>
      <c r="C26" s="11" t="s">
        <v>343</v>
      </c>
    </row>
    <row r="27" customFormat="false" ht="15" hidden="false" customHeight="false" outlineLevel="0" collapsed="false">
      <c r="A27" s="11" t="s">
        <v>344</v>
      </c>
      <c r="B27" s="11" t="s">
        <v>308</v>
      </c>
      <c r="C27" s="11" t="s">
        <v>345</v>
      </c>
    </row>
    <row r="28" customFormat="false" ht="15" hidden="false" customHeight="false" outlineLevel="0" collapsed="false">
      <c r="A28" s="11" t="s">
        <v>346</v>
      </c>
      <c r="B28" s="11" t="s">
        <v>308</v>
      </c>
      <c r="C28" s="11" t="s">
        <v>347</v>
      </c>
    </row>
    <row r="29" customFormat="false" ht="15" hidden="false" customHeight="false" outlineLevel="0" collapsed="false">
      <c r="A29" s="4" t="s">
        <v>348</v>
      </c>
      <c r="B29" s="4" t="s">
        <v>349</v>
      </c>
      <c r="C29" s="4" t="s">
        <v>350</v>
      </c>
    </row>
    <row r="30" customFormat="false" ht="15" hidden="false" customHeight="false" outlineLevel="0" collapsed="false">
      <c r="A30" s="7" t="s">
        <v>351</v>
      </c>
      <c r="B30" s="7" t="s">
        <v>294</v>
      </c>
      <c r="C30" s="7" t="s">
        <v>352</v>
      </c>
    </row>
    <row r="31" customFormat="false" ht="15" hidden="false" customHeight="false" outlineLevel="0" collapsed="false">
      <c r="A31" s="6" t="s">
        <v>353</v>
      </c>
      <c r="B31" s="6" t="s">
        <v>291</v>
      </c>
      <c r="C31" s="6" t="s">
        <v>354</v>
      </c>
    </row>
    <row r="32" customFormat="false" ht="15" hidden="false" customHeight="false" outlineLevel="0" collapsed="false">
      <c r="A32" s="7" t="s">
        <v>355</v>
      </c>
      <c r="B32" s="7" t="s">
        <v>294</v>
      </c>
      <c r="C32" s="7" t="s">
        <v>356</v>
      </c>
    </row>
    <row r="33" customFormat="false" ht="15" hidden="false" customHeight="false" outlineLevel="0" collapsed="false">
      <c r="A33" s="6" t="s">
        <v>357</v>
      </c>
      <c r="B33" s="6" t="s">
        <v>288</v>
      </c>
      <c r="C33" s="6" t="s">
        <v>358</v>
      </c>
    </row>
    <row r="34" customFormat="false" ht="15" hidden="false" customHeight="false" outlineLevel="0" collapsed="false">
      <c r="A34" s="7" t="s">
        <v>359</v>
      </c>
      <c r="B34" s="7" t="s">
        <v>360</v>
      </c>
      <c r="C34" s="7" t="s">
        <v>361</v>
      </c>
    </row>
    <row r="35" customFormat="false" ht="15" hidden="false" customHeight="false" outlineLevel="0" collapsed="false">
      <c r="A35" s="8" t="s">
        <v>362</v>
      </c>
      <c r="B35" s="8" t="s">
        <v>363</v>
      </c>
      <c r="C35" s="8" t="s">
        <v>364</v>
      </c>
    </row>
    <row r="36" customFormat="false" ht="15" hidden="false" customHeight="false" outlineLevel="0" collapsed="false">
      <c r="A36" s="11" t="s">
        <v>365</v>
      </c>
      <c r="B36" s="11" t="s">
        <v>308</v>
      </c>
      <c r="C36" s="11" t="s">
        <v>366</v>
      </c>
    </row>
    <row r="37" customFormat="false" ht="15" hidden="false" customHeight="false" outlineLevel="0" collapsed="false">
      <c r="A37" s="8" t="s">
        <v>367</v>
      </c>
      <c r="B37" s="8" t="s">
        <v>368</v>
      </c>
      <c r="C37" s="8" t="s">
        <v>369</v>
      </c>
    </row>
    <row r="38" customFormat="false" ht="15" hidden="false" customHeight="false" outlineLevel="0" collapsed="false">
      <c r="A38" s="7" t="s">
        <v>370</v>
      </c>
      <c r="B38" s="7" t="s">
        <v>360</v>
      </c>
      <c r="C38" s="7" t="s">
        <v>371</v>
      </c>
    </row>
    <row r="39" customFormat="false" ht="15" hidden="false" customHeight="false" outlineLevel="0" collapsed="false">
      <c r="A39" s="12" t="s">
        <v>372</v>
      </c>
      <c r="B39" s="12" t="s">
        <v>320</v>
      </c>
      <c r="C39" s="12" t="s">
        <v>373</v>
      </c>
    </row>
    <row r="40" customFormat="false" ht="15" hidden="false" customHeight="false" outlineLevel="0" collapsed="false">
      <c r="A40" s="11" t="s">
        <v>374</v>
      </c>
      <c r="B40" s="11" t="s">
        <v>308</v>
      </c>
      <c r="C40" s="11" t="s">
        <v>375</v>
      </c>
    </row>
    <row r="41" customFormat="false" ht="15" hidden="false" customHeight="false" outlineLevel="0" collapsed="false">
      <c r="A41" s="5" t="s">
        <v>376</v>
      </c>
      <c r="B41" s="5" t="s">
        <v>377</v>
      </c>
      <c r="C41" s="5" t="s">
        <v>378</v>
      </c>
    </row>
    <row r="42" customFormat="false" ht="15" hidden="false" customHeight="false" outlineLevel="0" collapsed="false">
      <c r="A42" s="7" t="s">
        <v>379</v>
      </c>
      <c r="B42" s="7" t="s">
        <v>294</v>
      </c>
      <c r="C42" s="7" t="s">
        <v>380</v>
      </c>
    </row>
    <row r="43" customFormat="false" ht="15" hidden="false" customHeight="false" outlineLevel="0" collapsed="false">
      <c r="A43" s="7" t="s">
        <v>381</v>
      </c>
      <c r="B43" s="7" t="s">
        <v>294</v>
      </c>
      <c r="C43" s="7" t="s">
        <v>382</v>
      </c>
    </row>
    <row r="44" customFormat="false" ht="15" hidden="false" customHeight="false" outlineLevel="0" collapsed="false">
      <c r="A44" s="7" t="s">
        <v>383</v>
      </c>
      <c r="B44" s="7" t="s">
        <v>294</v>
      </c>
      <c r="C44" s="7" t="s">
        <v>384</v>
      </c>
    </row>
    <row r="45" customFormat="false" ht="15" hidden="false" customHeight="false" outlineLevel="0" collapsed="false">
      <c r="A45" s="6" t="s">
        <v>385</v>
      </c>
      <c r="B45" s="6" t="s">
        <v>288</v>
      </c>
      <c r="C45" s="6" t="s">
        <v>386</v>
      </c>
    </row>
    <row r="46" customFormat="false" ht="15" hidden="false" customHeight="false" outlineLevel="0" collapsed="false">
      <c r="A46" s="14" t="s">
        <v>387</v>
      </c>
      <c r="B46" s="14" t="s">
        <v>388</v>
      </c>
      <c r="C46" s="14" t="s">
        <v>389</v>
      </c>
    </row>
    <row r="47" customFormat="false" ht="15" hidden="false" customHeight="false" outlineLevel="0" collapsed="false">
      <c r="A47" s="6" t="s">
        <v>390</v>
      </c>
      <c r="B47" s="6" t="s">
        <v>288</v>
      </c>
      <c r="C47" s="6" t="s">
        <v>391</v>
      </c>
    </row>
    <row r="48" customFormat="false" ht="15" hidden="false" customHeight="false" outlineLevel="0" collapsed="false">
      <c r="A48" s="5" t="s">
        <v>392</v>
      </c>
      <c r="B48" s="5" t="s">
        <v>393</v>
      </c>
      <c r="C48" s="5" t="s">
        <v>394</v>
      </c>
    </row>
    <row r="49" customFormat="false" ht="15" hidden="false" customHeight="false" outlineLevel="0" collapsed="false">
      <c r="A49" s="14" t="s">
        <v>395</v>
      </c>
      <c r="B49" s="14" t="s">
        <v>388</v>
      </c>
      <c r="C49" s="14" t="s">
        <v>396</v>
      </c>
    </row>
    <row r="50" customFormat="false" ht="15" hidden="false" customHeight="false" outlineLevel="0" collapsed="false">
      <c r="A50" s="14" t="s">
        <v>397</v>
      </c>
      <c r="B50" s="14" t="s">
        <v>388</v>
      </c>
      <c r="C50" s="14" t="s">
        <v>396</v>
      </c>
    </row>
    <row r="51" customFormat="false" ht="15" hidden="false" customHeight="false" outlineLevel="0" collapsed="false">
      <c r="A51" s="14" t="s">
        <v>398</v>
      </c>
      <c r="B51" s="14" t="s">
        <v>388</v>
      </c>
      <c r="C51" s="14" t="s">
        <v>399</v>
      </c>
    </row>
    <row r="52" customFormat="false" ht="15" hidden="false" customHeight="false" outlineLevel="0" collapsed="false">
      <c r="A52" s="14" t="s">
        <v>400</v>
      </c>
      <c r="B52" s="14" t="s">
        <v>388</v>
      </c>
      <c r="C52" s="14" t="s">
        <v>396</v>
      </c>
    </row>
    <row r="53" customFormat="false" ht="15" hidden="false" customHeight="false" outlineLevel="0" collapsed="false">
      <c r="A53" s="14" t="s">
        <v>401</v>
      </c>
      <c r="B53" s="14" t="s">
        <v>388</v>
      </c>
      <c r="C53" s="14" t="s">
        <v>402</v>
      </c>
    </row>
  </sheetData>
  <autoFilter ref="A1:C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5"/>
  </cols>
  <sheetData>
    <row r="1" customFormat="false" ht="21.75" hidden="false" customHeight="true" outlineLevel="0" collapsed="false">
      <c r="A1" s="1" t="s">
        <v>403</v>
      </c>
      <c r="B1" s="1" t="s">
        <v>404</v>
      </c>
    </row>
    <row r="2" customFormat="false" ht="15" hidden="false" customHeight="false" outlineLevel="0" collapsed="false">
      <c r="A2" s="15" t="s">
        <v>405</v>
      </c>
      <c r="B2" s="15" t="s">
        <v>230</v>
      </c>
    </row>
    <row r="3" customFormat="false" ht="15" hidden="false" customHeight="false" outlineLevel="0" collapsed="false">
      <c r="A3" s="16" t="s">
        <v>406</v>
      </c>
      <c r="B3" s="16" t="s">
        <v>137</v>
      </c>
    </row>
    <row r="4" customFormat="false" ht="15" hidden="false" customHeight="false" outlineLevel="0" collapsed="false">
      <c r="A4" s="15" t="s">
        <v>407</v>
      </c>
      <c r="B4" s="15" t="s">
        <v>83</v>
      </c>
    </row>
    <row r="5" customFormat="false" ht="15" hidden="false" customHeight="false" outlineLevel="0" collapsed="false">
      <c r="A5" s="16" t="s">
        <v>408</v>
      </c>
      <c r="B5" s="16" t="s">
        <v>95</v>
      </c>
    </row>
    <row r="6" customFormat="false" ht="15" hidden="false" customHeight="false" outlineLevel="0" collapsed="false">
      <c r="A6" s="15" t="s">
        <v>409</v>
      </c>
      <c r="B6" s="15" t="s">
        <v>89</v>
      </c>
    </row>
    <row r="7" customFormat="false" ht="15" hidden="false" customHeight="false" outlineLevel="0" collapsed="false">
      <c r="A7" s="16" t="s">
        <v>410</v>
      </c>
      <c r="B7" s="16" t="s">
        <v>169</v>
      </c>
    </row>
    <row r="8" customFormat="false" ht="15" hidden="false" customHeight="false" outlineLevel="0" collapsed="false">
      <c r="A8" s="15" t="s">
        <v>411</v>
      </c>
      <c r="B8" s="15" t="s">
        <v>76</v>
      </c>
    </row>
    <row r="9" customFormat="false" ht="15" hidden="false" customHeight="false" outlineLevel="0" collapsed="false">
      <c r="A9" s="16" t="s">
        <v>412</v>
      </c>
      <c r="B9" s="16" t="s">
        <v>104</v>
      </c>
    </row>
    <row r="10" customFormat="false" ht="15" hidden="false" customHeight="false" outlineLevel="0" collapsed="false">
      <c r="A10" s="15" t="s">
        <v>413</v>
      </c>
      <c r="B10" s="15" t="s">
        <v>84</v>
      </c>
    </row>
    <row r="11" customFormat="false" ht="15" hidden="false" customHeight="false" outlineLevel="0" collapsed="false">
      <c r="A11" s="16" t="s">
        <v>414</v>
      </c>
      <c r="B11" s="16" t="s">
        <v>140</v>
      </c>
    </row>
    <row r="12" customFormat="false" ht="15" hidden="false" customHeight="false" outlineLevel="0" collapsed="false">
      <c r="A12" s="15" t="s">
        <v>415</v>
      </c>
      <c r="B12" s="15" t="s">
        <v>35</v>
      </c>
    </row>
    <row r="13" customFormat="false" ht="15" hidden="false" customHeight="false" outlineLevel="0" collapsed="false">
      <c r="A13" s="16" t="s">
        <v>416</v>
      </c>
      <c r="B13" s="16" t="s">
        <v>142</v>
      </c>
    </row>
    <row r="14" customFormat="false" ht="15" hidden="false" customHeight="false" outlineLevel="0" collapsed="false">
      <c r="A14" s="15" t="s">
        <v>417</v>
      </c>
      <c r="B14" s="15" t="s">
        <v>143</v>
      </c>
    </row>
    <row r="15" customFormat="false" ht="15" hidden="false" customHeight="false" outlineLevel="0" collapsed="false">
      <c r="A15" s="16" t="s">
        <v>418</v>
      </c>
      <c r="B15" s="16" t="s">
        <v>211</v>
      </c>
    </row>
    <row r="16" customFormat="false" ht="15" hidden="false" customHeight="false" outlineLevel="0" collapsed="false">
      <c r="A16" s="15" t="s">
        <v>419</v>
      </c>
      <c r="B16" s="15" t="s">
        <v>212</v>
      </c>
    </row>
    <row r="17" customFormat="false" ht="15" hidden="false" customHeight="false" outlineLevel="0" collapsed="false">
      <c r="A17" s="16" t="s">
        <v>420</v>
      </c>
      <c r="B17" s="16" t="s">
        <v>214</v>
      </c>
    </row>
    <row r="18" customFormat="false" ht="15" hidden="false" customHeight="false" outlineLevel="0" collapsed="false">
      <c r="A18" s="15" t="s">
        <v>421</v>
      </c>
      <c r="B18" s="15" t="s">
        <v>128</v>
      </c>
    </row>
    <row r="19" customFormat="false" ht="15" hidden="false" customHeight="false" outlineLevel="0" collapsed="false">
      <c r="A19" s="16" t="s">
        <v>422</v>
      </c>
      <c r="B19" s="16" t="s">
        <v>39</v>
      </c>
    </row>
    <row r="20" customFormat="false" ht="15" hidden="false" customHeight="false" outlineLevel="0" collapsed="false">
      <c r="A20" s="15" t="s">
        <v>423</v>
      </c>
      <c r="B20" s="15" t="s">
        <v>85</v>
      </c>
    </row>
    <row r="21" customFormat="false" ht="15" hidden="false" customHeight="false" outlineLevel="0" collapsed="false">
      <c r="A21" s="16" t="s">
        <v>424</v>
      </c>
      <c r="B21" s="16" t="s">
        <v>27</v>
      </c>
    </row>
    <row r="22" customFormat="false" ht="15" hidden="false" customHeight="false" outlineLevel="0" collapsed="false">
      <c r="A22" s="15" t="s">
        <v>425</v>
      </c>
      <c r="B22" s="15" t="s">
        <v>194</v>
      </c>
    </row>
    <row r="23" customFormat="false" ht="15" hidden="false" customHeight="false" outlineLevel="0" collapsed="false">
      <c r="A23" s="16" t="s">
        <v>426</v>
      </c>
      <c r="B23" s="16" t="s">
        <v>59</v>
      </c>
    </row>
    <row r="24" customFormat="false" ht="15" hidden="false" customHeight="false" outlineLevel="0" collapsed="false">
      <c r="A24" s="15" t="s">
        <v>427</v>
      </c>
      <c r="B24" s="15" t="s">
        <v>248</v>
      </c>
    </row>
    <row r="25" customFormat="false" ht="15" hidden="false" customHeight="false" outlineLevel="0" collapsed="false">
      <c r="A25" s="16" t="s">
        <v>428</v>
      </c>
      <c r="B25" s="16" t="s">
        <v>242</v>
      </c>
    </row>
    <row r="26" customFormat="false" ht="15" hidden="false" customHeight="false" outlineLevel="0" collapsed="false">
      <c r="A26" s="15" t="s">
        <v>429</v>
      </c>
      <c r="B26" s="15" t="s">
        <v>111</v>
      </c>
    </row>
    <row r="27" customFormat="false" ht="15" hidden="false" customHeight="false" outlineLevel="0" collapsed="false">
      <c r="A27" s="16" t="s">
        <v>430</v>
      </c>
      <c r="B27" s="16" t="s">
        <v>127</v>
      </c>
    </row>
    <row r="28" customFormat="false" ht="15" hidden="false" customHeight="false" outlineLevel="0" collapsed="false">
      <c r="A28" s="15" t="s">
        <v>431</v>
      </c>
      <c r="B28" s="15" t="s">
        <v>127</v>
      </c>
    </row>
    <row r="29" customFormat="false" ht="15" hidden="false" customHeight="false" outlineLevel="0" collapsed="false">
      <c r="A29" s="16" t="s">
        <v>432</v>
      </c>
      <c r="B29" s="16" t="s">
        <v>196</v>
      </c>
    </row>
    <row r="30" customFormat="false" ht="15" hidden="false" customHeight="false" outlineLevel="0" collapsed="false">
      <c r="A30" s="15" t="s">
        <v>433</v>
      </c>
      <c r="B30" s="15" t="s">
        <v>86</v>
      </c>
    </row>
    <row r="31" customFormat="false" ht="15" hidden="false" customHeight="false" outlineLevel="0" collapsed="false">
      <c r="A31" s="16" t="s">
        <v>434</v>
      </c>
      <c r="B31" s="16" t="s">
        <v>265</v>
      </c>
    </row>
    <row r="32" customFormat="false" ht="15" hidden="false" customHeight="false" outlineLevel="0" collapsed="false">
      <c r="A32" s="15" t="s">
        <v>435</v>
      </c>
      <c r="B32" s="15" t="s">
        <v>186</v>
      </c>
    </row>
    <row r="33" customFormat="false" ht="15" hidden="false" customHeight="false" outlineLevel="0" collapsed="false">
      <c r="A33" s="16" t="s">
        <v>436</v>
      </c>
      <c r="B33" s="16" t="s">
        <v>210</v>
      </c>
    </row>
  </sheetData>
  <autoFilter ref="A1:B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437</v>
      </c>
      <c r="B1" s="1" t="s">
        <v>438</v>
      </c>
    </row>
    <row r="2" customFormat="false" ht="15" hidden="false" customHeight="false" outlineLevel="0" collapsed="false">
      <c r="A2" s="17" t="s">
        <v>439</v>
      </c>
      <c r="B2" s="18" t="n">
        <f aca="false">COUNTA(Countries_Territories!A2:A10000)</f>
        <v>237</v>
      </c>
    </row>
    <row r="3" customFormat="false" ht="15" hidden="false" customHeight="false" outlineLevel="0" collapsed="false">
      <c r="A3" s="17" t="s">
        <v>440</v>
      </c>
      <c r="B3" s="18" t="n">
        <f aca="false">COUNTIF(Countries_Territories!B:B,"Country")</f>
        <v>194</v>
      </c>
    </row>
    <row r="4" customFormat="false" ht="15" hidden="false" customHeight="false" outlineLevel="0" collapsed="false">
      <c r="A4" s="17" t="s">
        <v>441</v>
      </c>
      <c r="B4" s="18" t="n">
        <f aca="false">COUNTIF(Countries_Territories!B:B,"Territory")</f>
        <v>43</v>
      </c>
    </row>
    <row r="5" customFormat="false" ht="15" hidden="false" customHeight="false" outlineLevel="0" collapsed="false">
      <c r="A5" s="19"/>
      <c r="B5" s="20"/>
    </row>
    <row r="6" customFormat="false" ht="15" hidden="false" customHeight="false" outlineLevel="0" collapsed="false">
      <c r="A6" s="17" t="s">
        <v>442</v>
      </c>
      <c r="B6" s="18" t="n">
        <f aca="false">COUNTA(Organizations_Groups!A2:A10000)</f>
        <v>52</v>
      </c>
    </row>
    <row r="7" customFormat="false" ht="15" hidden="false" customHeight="false" outlineLevel="0" collapsed="false">
      <c r="A7" s="17" t="s">
        <v>443</v>
      </c>
      <c r="B7" s="18" t="n">
        <f aca="false">COUNTIF(Organizations_Groups!B:B,"Trade Bloc")</f>
        <v>8</v>
      </c>
    </row>
    <row r="8" customFormat="false" ht="15" hidden="false" customHeight="false" outlineLevel="0" collapsed="false">
      <c r="A8" s="17" t="s">
        <v>444</v>
      </c>
      <c r="B8" s="18" t="n">
        <f aca="false">COUNTIFS(Organizations_Groups!B:B,"Military Alliance")+COUNTIFS(Organizations_Groups!B:B,"Security Alliance")</f>
        <v>2</v>
      </c>
    </row>
    <row r="9" customFormat="false" ht="15" hidden="false" customHeight="false" outlineLevel="0" collapsed="false">
      <c r="A9" s="17" t="s">
        <v>445</v>
      </c>
      <c r="B9" s="18" t="n">
        <f aca="false">COUNTIF(Organizations_Groups!B:B,"Economic Group")</f>
        <v>6</v>
      </c>
    </row>
    <row r="10" customFormat="false" ht="15" hidden="false" customHeight="false" outlineLevel="0" collapsed="false">
      <c r="A10" s="17" t="s">
        <v>446</v>
      </c>
      <c r="B10" s="18" t="n">
        <f aca="false">COUNTIF(Organizations_Groups!B:B,"Regional Bloc")</f>
        <v>13</v>
      </c>
    </row>
    <row r="11" customFormat="false" ht="15" hidden="false" customHeight="false" outlineLevel="0" collapsed="false">
      <c r="A11" s="17" t="s">
        <v>447</v>
      </c>
      <c r="B11" s="18" t="n">
        <f aca="false">COUNTIF(Organizations_Groups!B:B,"UN Group")</f>
        <v>6</v>
      </c>
    </row>
    <row r="12" customFormat="false" ht="15" hidden="false" customHeight="false" outlineLevel="0" collapsed="false">
      <c r="A12" s="19"/>
      <c r="B12" s="20"/>
    </row>
    <row r="13" customFormat="false" ht="15" hidden="false" customHeight="false" outlineLevel="0" collapsed="false">
      <c r="A13" s="17" t="s">
        <v>448</v>
      </c>
      <c r="B13" s="18" t="n">
        <f aca="false">COUNTA(Aliases_Lookup!A2:A10000)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2026-04-20T15:38:18Z</dcterms:created>
  <dc:creator>openpyxl</dc:creator>
  <dc:description/>
  <dc:language>en-US</dc:language>
  <cp:lastModifiedBy/>
  <dcterms:modified xsi:type="dcterms:W3CDTF">2026-04-20T15:38:18Z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